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設定" sheetId="2" state="visible" r:id="rId4"/>
    <sheet name="ウォッチリスト" sheetId="3" state="visible" r:id="rId5"/>
    <sheet name="仕入れ計画" sheetId="4" state="visible" r:id="rId6"/>
    <sheet name="在庫管理" sheetId="5" state="visible" r:id="rId7"/>
    <sheet name="ダッシュボード" sheetId="6" state="visible" r:id="rId8"/>
  </sheets>
  <definedNames>
    <definedName function="false" hidden="false" localSheetId="2" name="_xlnm.Print_Titles" vbProcedure="false">ウォッチリスト!$12:$12</definedName>
    <definedName function="false" hidden="false" localSheetId="4" name="_xlnm.Print_Titles" vbProcedure="false">在庫管理!$10:$10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<sst xmlns="http://schemas.openxmlformats.org/spreadsheetml/2006/main" count="319" uniqueCount="186">
  <si>
    <t xml:space="preserve">トレカ在庫ポートフォリオ管理ブック</t>
  </si>
  <si>
    <r>
      <rPr>
        <i val="true"/>
        <sz val="9"/>
        <color rgb="FF666666"/>
        <rFont val="WenQuanYi Zen Hei"/>
        <family val="2"/>
      </rPr>
      <t xml:space="preserve">スニダン等で扱うトレーディングカード（ポケモンカード／ワンピースカード／遊戯王 等）の在庫を</t>
    </r>
    <r>
      <rPr>
        <i val="true"/>
        <sz val="9"/>
        <color rgb="FF666666"/>
        <rFont val="Yu Gothic"/>
        <family val="0"/>
        <charset val="1"/>
      </rPr>
      <t xml:space="preserve">4</t>
    </r>
    <r>
      <rPr>
        <i val="true"/>
        <sz val="9"/>
        <color rgb="FF666666"/>
        <rFont val="WenQuanYi Zen Hei"/>
        <family val="2"/>
      </rPr>
      <t xml:space="preserve">象限で管理するための運用テンプレートです。</t>
    </r>
  </si>
  <si>
    <t xml:space="preserve">■ シート構成</t>
  </si>
  <si>
    <r>
      <rPr>
        <sz val="10"/>
        <color rgb="FF000000"/>
        <rFont val="WenQuanYi Zen Hei"/>
        <family val="2"/>
      </rPr>
      <t xml:space="preserve">　設定：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象限のしきい値、銘柄タイトル／希少性／トレンド／ボラティリティ／ステータスのマスタ、集中リスク集計用のキャラ・イラストレーターリストを管理します。まずこのシートを事業実態に合わせて調整してください。</t>
    </r>
  </si>
  <si>
    <r>
      <rPr>
        <sz val="10"/>
        <color rgb="FF000000"/>
        <rFont val="WenQuanYi Zen Hei"/>
        <family val="2"/>
      </rPr>
      <t xml:space="preserve">　ウォッチリスト：スニダン等で気になっている未仕入れのカードを登録すると、想定売却日数と想定粗利率から自動で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象限に振り分けます。</t>
    </r>
  </si>
  <si>
    <t xml:space="preserve">　仕入れ計画：象限ごとに「何を・いくらまで・どの希少性／トレンド／ボラティリティなら仕入れてよいか」のルールと月間予算配分を定義します。</t>
  </si>
  <si>
    <r>
      <rPr>
        <sz val="10"/>
        <color rgb="FF000000"/>
        <rFont val="WenQuanYi Zen Hei"/>
        <family val="2"/>
      </rPr>
      <t xml:space="preserve">　在庫管理：実在庫を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分類＋タグ（キャラ／イラストレーター／絶版／周年／希少性／トレンド／ボラティリティ）で登録し、ポートフォリオ比率を自動計算します。</t>
    </r>
  </si>
  <si>
    <t xml:space="preserve">　ダッシュボード：資金効率（在庫の入れ替わり回数・資金倍率・含み損益率）と換金のしやすさ、偏りリスクを自動集計します。</t>
  </si>
  <si>
    <r>
      <rPr>
        <b val="true"/>
        <sz val="11"/>
        <color rgb="FF1F4E78"/>
        <rFont val="Yu Gothic"/>
        <family val="0"/>
        <charset val="1"/>
      </rPr>
      <t xml:space="preserve">■ 2</t>
    </r>
    <r>
      <rPr>
        <b val="true"/>
        <sz val="11"/>
        <color rgb="FF1F4E78"/>
        <rFont val="WenQuanYi Zen Hei"/>
        <family val="2"/>
      </rPr>
      <t xml:space="preserve">段階の判断の仕組み</t>
    </r>
  </si>
  <si>
    <r>
      <rPr>
        <sz val="10"/>
        <color rgb="FF000000"/>
        <rFont val="WenQuanYi Zen Hei"/>
        <family val="2"/>
      </rPr>
      <t xml:space="preserve">　① 自動判定（象限）：「想定売却日数」と「想定粗利率」の</t>
    </r>
    <r>
      <rPr>
        <sz val="10"/>
        <color rgb="FF000000"/>
        <rFont val="Yu Gothic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つの数値から、コア／回転／厳選／見送りの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象限を自動で判定します（「設定」シートのしきい値で調整可能）。</t>
    </r>
  </si>
  <si>
    <t xml:space="preserve">　② 仕入れ可否の判断（属性）：象限が決まったら、そのカードの「希少性」「トレンド（値動きの勢い）」「ボラティリティ（値動きの荒さ）」が、その象限で仕入れてよい条件に当てはまるかを「仕入れ計画」シートと照らし合わせて判断します。</t>
  </si>
  <si>
    <t xml:space="preserve">■ 入力ルール（色分け）</t>
  </si>
  <si>
    <t xml:space="preserve">　青字：手入力セル。実データに置き換えてください。</t>
  </si>
  <si>
    <t xml:space="preserve">　黄色背景：しきい値・予算など、事業判断が必要な重要な前提値。</t>
  </si>
  <si>
    <t xml:space="preserve">　黒字：自動計算セル。数式が入っているため直接編集しないでください。</t>
  </si>
  <si>
    <t xml:space="preserve">　緑字：他シートを参照しているセル。</t>
  </si>
  <si>
    <t xml:space="preserve">■ 使い始め方</t>
  </si>
  <si>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Yu Gothic"/>
        <family val="0"/>
        <charset val="1"/>
      </rPr>
      <t xml:space="preserve">Step1</t>
    </r>
    <r>
      <rPr>
        <sz val="10"/>
        <color rgb="FF000000"/>
        <rFont val="WenQuanYi Zen Hei"/>
        <family val="2"/>
      </rPr>
      <t xml:space="preserve">：「設定」シートで銘柄タイトル（ポケカ／ワンピカ／遊戯王 等）・希少性・</t>
    </r>
    <r>
      <rPr>
        <sz val="10"/>
        <color rgb="FF000000"/>
        <rFont val="Yu Gothic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象限しきい値を確認・調整する。</t>
    </r>
  </si>
  <si>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Yu Gothic"/>
        <family val="0"/>
        <charset val="1"/>
      </rPr>
      <t xml:space="preserve">Step2</t>
    </r>
    <r>
      <rPr>
        <sz val="10"/>
        <color rgb="FF000000"/>
        <rFont val="WenQuanYi Zen Hei"/>
        <family val="2"/>
      </rPr>
      <t xml:space="preserve">：「ウォッチリスト」にスニダンのウォッチリスト登録分を入力し、象限分布を確認する。</t>
    </r>
  </si>
  <si>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Yu Gothic"/>
        <family val="0"/>
        <charset val="1"/>
      </rPr>
      <t xml:space="preserve">Step3</t>
    </r>
    <r>
      <rPr>
        <sz val="10"/>
        <color rgb="FF000000"/>
        <rFont val="WenQuanYi Zen Hei"/>
        <family val="2"/>
      </rPr>
      <t xml:space="preserve">：「仕入れ計画」で象限別の上限単価・許容希少性／トレンド／ボラティリティ・予算配分を確定する。</t>
    </r>
  </si>
  <si>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Yu Gothic"/>
        <family val="0"/>
        <charset val="1"/>
      </rPr>
      <t xml:space="preserve">Step4</t>
    </r>
    <r>
      <rPr>
        <sz val="10"/>
        <color rgb="FF000000"/>
        <rFont val="WenQuanYi Zen Hei"/>
        <family val="2"/>
      </rPr>
      <t xml:space="preserve">：「在庫管理」に実在庫を棚卸し登録し、ポートフォリオ比率と偏りリスクを確認する。</t>
    </r>
  </si>
  <si>
    <r>
      <rPr>
        <sz val="10"/>
        <color rgb="FF000000"/>
        <rFont val="WenQuanYi Zen Hei"/>
        <family val="2"/>
      </rPr>
      <t xml:space="preserve">　</t>
    </r>
    <r>
      <rPr>
        <sz val="10"/>
        <color rgb="FF000000"/>
        <rFont val="Yu Gothic"/>
        <family val="0"/>
        <charset val="1"/>
      </rPr>
      <t xml:space="preserve">Step5</t>
    </r>
    <r>
      <rPr>
        <sz val="10"/>
        <color rgb="FF000000"/>
        <rFont val="WenQuanYi Zen Hei"/>
        <family val="2"/>
      </rPr>
      <t xml:space="preserve">：「ダッシュボード」を週次で確認し、仕入れ計画にフィードバックする。</t>
    </r>
  </si>
  <si>
    <t xml:space="preserve">■ 注意事項</t>
  </si>
  <si>
    <t xml:space="preserve">　サンプル行：各シートの数行はサンプル値です。実データ入力時は上書き、または不要なら内容を削除してください（数式は残しても構いません）。</t>
  </si>
  <si>
    <r>
      <rPr>
        <sz val="10"/>
        <color rgb="FF000000"/>
        <rFont val="WenQuanYi Zen Hei"/>
        <family val="2"/>
      </rPr>
      <t xml:space="preserve">　偏りリスク</t>
    </r>
    <r>
      <rPr>
        <sz val="10"/>
        <color rgb="FF000000"/>
        <rFont val="Yu Gothic"/>
        <family val="0"/>
        <charset val="1"/>
      </rPr>
      <t xml:space="preserve">(HHI)</t>
    </r>
    <r>
      <rPr>
        <sz val="10"/>
        <color rgb="FF000000"/>
        <rFont val="WenQuanYi Zen Hei"/>
        <family val="2"/>
      </rPr>
      <t xml:space="preserve">：特定のカテゴリ・キャラ・イラストレーターに在庫が偏っていないかを数値化したものです（集中度指数／</t>
    </r>
    <r>
      <rPr>
        <sz val="10"/>
        <color rgb="FF000000"/>
        <rFont val="Yu Gothic"/>
        <family val="0"/>
        <charset val="1"/>
      </rPr>
      <t xml:space="preserve">HHI</t>
    </r>
    <r>
      <rPr>
        <sz val="10"/>
        <color rgb="FF000000"/>
        <rFont val="WenQuanYi Zen Hei"/>
        <family val="2"/>
      </rPr>
      <t xml:space="preserve">）。数値が大きいほど偏りが大きいことを意味します。目安：</t>
    </r>
    <r>
      <rPr>
        <sz val="10"/>
        <color rgb="FF000000"/>
        <rFont val="Yu Gothic"/>
        <family val="0"/>
        <charset val="1"/>
      </rPr>
      <t xml:space="preserve">1,500</t>
    </r>
    <r>
      <rPr>
        <sz val="10"/>
        <color rgb="FF000000"/>
        <rFont val="WenQuanYi Zen Hei"/>
        <family val="2"/>
      </rPr>
      <t xml:space="preserve">未満＝分散、</t>
    </r>
    <r>
      <rPr>
        <sz val="10"/>
        <color rgb="FF000000"/>
        <rFont val="Yu Gothic"/>
        <family val="0"/>
        <charset val="1"/>
      </rPr>
      <t xml:space="preserve">1,500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Yu Gothic"/>
        <family val="0"/>
        <charset val="1"/>
      </rPr>
      <t xml:space="preserve">2,500</t>
    </r>
    <r>
      <rPr>
        <sz val="10"/>
        <color rgb="FF000000"/>
        <rFont val="WenQuanYi Zen Hei"/>
        <family val="2"/>
      </rPr>
      <t xml:space="preserve">＝中程度、</t>
    </r>
    <r>
      <rPr>
        <sz val="10"/>
        <color rgb="FF000000"/>
        <rFont val="Yu Gothic"/>
        <family val="0"/>
        <charset val="1"/>
      </rPr>
      <t xml:space="preserve">2,500</t>
    </r>
    <r>
      <rPr>
        <sz val="10"/>
        <color rgb="FF000000"/>
        <rFont val="WenQuanYi Zen Hei"/>
        <family val="2"/>
      </rPr>
      <t xml:space="preserve">以上＝偏りが大きい。</t>
    </r>
  </si>
  <si>
    <t xml:space="preserve">設定</t>
  </si>
  <si>
    <r>
      <rPr>
        <i val="true"/>
        <sz val="9"/>
        <color rgb="FF666666"/>
        <rFont val="Yu Gothic"/>
        <family val="0"/>
        <charset val="1"/>
      </rPr>
      <t xml:space="preserve">4</t>
    </r>
    <r>
      <rPr>
        <i val="true"/>
        <sz val="9"/>
        <color rgb="FF666666"/>
        <rFont val="WenQuanYi Zen Hei"/>
        <family val="2"/>
      </rPr>
      <t xml:space="preserve">象限のしきい値とマスタデータ。事業実態に合わせて調整してください。</t>
    </r>
  </si>
  <si>
    <r>
      <rPr>
        <b val="true"/>
        <sz val="11"/>
        <color rgb="FF1F4E78"/>
        <rFont val="Yu Gothic"/>
        <family val="0"/>
        <charset val="1"/>
      </rPr>
      <t xml:space="preserve">■ 4</t>
    </r>
    <r>
      <rPr>
        <b val="true"/>
        <sz val="11"/>
        <color rgb="FF1F4E78"/>
        <rFont val="WenQuanYi Zen Hei"/>
        <family val="2"/>
      </rPr>
      <t xml:space="preserve">象限 自動判定しきい値（想定売却日数・想定粗利率から象限を機械的に判定）</t>
    </r>
  </si>
  <si>
    <t xml:space="preserve">早く売れる基準（想定売却日数・この日数以内なら「早く売れる」とみなす）</t>
  </si>
  <si>
    <t xml:space="preserve">儲かる基準（想定粗利率・この率以上なら「利益率が高い」とみなす）</t>
  </si>
  <si>
    <t xml:space="preserve">売れ残りリスク基準（想定売却日数がこの日数を超えたら要注意）</t>
  </si>
  <si>
    <r>
      <rPr>
        <i val="true"/>
        <sz val="9"/>
        <color rgb="FF666666"/>
        <rFont val="WenQuanYi Zen Hei"/>
        <family val="2"/>
      </rPr>
      <t xml:space="preserve">※ この</t>
    </r>
    <r>
      <rPr>
        <i val="true"/>
        <sz val="9"/>
        <color rgb="FF666666"/>
        <rFont val="Yu Gothic"/>
        <family val="0"/>
        <charset val="1"/>
      </rPr>
      <t xml:space="preserve">2</t>
    </r>
    <r>
      <rPr>
        <i val="true"/>
        <sz val="9"/>
        <color rgb="FF666666"/>
        <rFont val="WenQuanYi Zen Hei"/>
        <family val="2"/>
      </rPr>
      <t xml:space="preserve">つのしきい値は象限の自動判定専用です。カードごとの仕入れ可否は「仕入れ計画」シートの希少性／トレンド／ボラティリティ条件で判断します。</t>
    </r>
  </si>
  <si>
    <r>
      <rPr>
        <b val="true"/>
        <sz val="11"/>
        <color rgb="FF1F4E78"/>
        <rFont val="Yu Gothic"/>
        <family val="0"/>
        <charset val="1"/>
      </rPr>
      <t xml:space="preserve">■ 4</t>
    </r>
    <r>
      <rPr>
        <b val="true"/>
        <sz val="11"/>
        <color rgb="FF1F4E78"/>
        <rFont val="WenQuanYi Zen Hei"/>
        <family val="2"/>
      </rPr>
      <t xml:space="preserve">象限マスタ（分類ロジック・方針の目安）</t>
    </r>
  </si>
  <si>
    <t xml:space="preserve">象限コード</t>
  </si>
  <si>
    <t xml:space="preserve">早く売れる？</t>
  </si>
  <si>
    <t xml:space="preserve">利益率は高い？</t>
  </si>
  <si>
    <t xml:space="preserve">方針の目安</t>
  </si>
  <si>
    <r>
      <rPr>
        <sz val="10"/>
        <color rgb="FF000000"/>
        <rFont val="Yu Gothic"/>
        <family val="0"/>
        <charset val="1"/>
      </rPr>
      <t xml:space="preserve">I(</t>
    </r>
    <r>
      <rPr>
        <sz val="10"/>
        <color rgb="FF000000"/>
        <rFont val="WenQuanYi Zen Hei"/>
        <family val="2"/>
      </rPr>
      <t xml:space="preserve">コア</t>
    </r>
    <r>
      <rPr>
        <sz val="10"/>
        <color rgb="FF000000"/>
        <rFont val="Yu Gothic"/>
        <family val="0"/>
        <charset val="1"/>
      </rPr>
      <t xml:space="preserve">)</t>
    </r>
  </si>
  <si>
    <t xml:space="preserve">早い</t>
  </si>
  <si>
    <t xml:space="preserve">高い</t>
  </si>
  <si>
    <t xml:space="preserve">積極的に仕入れる中心銘柄。予算配分と在庫上限を厚めに。</t>
  </si>
  <si>
    <r>
      <rPr>
        <sz val="10"/>
        <color rgb="FF000000"/>
        <rFont val="Yu Gothic"/>
        <family val="0"/>
        <charset val="1"/>
      </rPr>
      <t xml:space="preserve">II(</t>
    </r>
    <r>
      <rPr>
        <sz val="10"/>
        <color rgb="FF000000"/>
        <rFont val="WenQuanYi Zen Hei"/>
        <family val="2"/>
      </rPr>
      <t xml:space="preserve">回転</t>
    </r>
    <r>
      <rPr>
        <sz val="10"/>
        <color rgb="FF000000"/>
        <rFont val="Yu Gothic"/>
        <family val="0"/>
        <charset val="1"/>
      </rPr>
      <t xml:space="preserve">)</t>
    </r>
  </si>
  <si>
    <t xml:space="preserve">低い（薄利）</t>
  </si>
  <si>
    <t xml:space="preserve">資金回転を稼ぐ数量枠。単価上限を抑えて回転数で稼ぐ。</t>
  </si>
  <si>
    <r>
      <rPr>
        <sz val="10"/>
        <color rgb="FF000000"/>
        <rFont val="Yu Gothic"/>
        <family val="0"/>
        <charset val="1"/>
      </rPr>
      <t xml:space="preserve">III(</t>
    </r>
    <r>
      <rPr>
        <sz val="10"/>
        <color rgb="FF000000"/>
        <rFont val="WenQuanYi Zen Hei"/>
        <family val="2"/>
      </rPr>
      <t xml:space="preserve">厳選</t>
    </r>
    <r>
      <rPr>
        <sz val="10"/>
        <color rgb="FF000000"/>
        <rFont val="Yu Gothic"/>
        <family val="0"/>
        <charset val="1"/>
      </rPr>
      <t xml:space="preserve">)</t>
    </r>
  </si>
  <si>
    <t xml:space="preserve">遅い</t>
  </si>
  <si>
    <t xml:space="preserve">資金拘束を許容できる範囲で少数厳選。上限点数を絞る。</t>
  </si>
  <si>
    <r>
      <rPr>
        <sz val="10"/>
        <color rgb="FF000000"/>
        <rFont val="Yu Gothic"/>
        <family val="0"/>
        <charset val="1"/>
      </rPr>
      <t xml:space="preserve">IV(</t>
    </r>
    <r>
      <rPr>
        <sz val="10"/>
        <color rgb="FF000000"/>
        <rFont val="WenQuanYi Zen Hei"/>
        <family val="2"/>
      </rPr>
      <t xml:space="preserve">見送り</t>
    </r>
    <r>
      <rPr>
        <sz val="10"/>
        <color rgb="FF000000"/>
        <rFont val="Yu Gothic"/>
        <family val="0"/>
        <charset val="1"/>
      </rPr>
      <t xml:space="preserve">)</t>
    </r>
  </si>
  <si>
    <t xml:space="preserve">原則仕入れ見送り。ウォッチのみ継続し再評価を待つ。</t>
  </si>
  <si>
    <t xml:space="preserve">■ 銘柄タイトルマスタ（トレカのタイトル。在庫管理・ウォッチリストのプルダウンで使用）</t>
  </si>
  <si>
    <t xml:space="preserve">銘柄タイトル</t>
  </si>
  <si>
    <t xml:space="preserve">ポケモンカード</t>
  </si>
  <si>
    <t xml:space="preserve">ワンピースカード</t>
  </si>
  <si>
    <t xml:space="preserve">遊戯王</t>
  </si>
  <si>
    <t xml:space="preserve">デュエル・マスターズ</t>
  </si>
  <si>
    <t xml:space="preserve">マジック：ザ・ギャザリング</t>
  </si>
  <si>
    <t xml:space="preserve">その他</t>
  </si>
  <si>
    <r>
      <rPr>
        <b val="true"/>
        <sz val="11"/>
        <color rgb="FF1F4E78"/>
        <rFont val="WenQuanYi Zen Hei"/>
        <family val="2"/>
      </rPr>
      <t xml:space="preserve">■ 希少性マスタ（レアリティ。</t>
    </r>
    <r>
      <rPr>
        <b val="true"/>
        <sz val="11"/>
        <color rgb="FF1F4E78"/>
        <rFont val="Yu Gothic"/>
        <family val="0"/>
        <charset val="1"/>
      </rPr>
      <t xml:space="preserve">SS</t>
    </r>
    <r>
      <rPr>
        <b val="true"/>
        <sz val="11"/>
        <color rgb="FF1F4E78"/>
        <rFont val="WenQuanYi Zen Hei"/>
        <family val="2"/>
      </rPr>
      <t xml:space="preserve">が最も希少）</t>
    </r>
  </si>
  <si>
    <t xml:space="preserve">希少性</t>
  </si>
  <si>
    <t xml:space="preserve">SS</t>
  </si>
  <si>
    <t xml:space="preserve">S</t>
  </si>
  <si>
    <t xml:space="preserve">A</t>
  </si>
  <si>
    <t xml:space="preserve">B</t>
  </si>
  <si>
    <t xml:space="preserve">C</t>
  </si>
  <si>
    <t xml:space="preserve">■ トレンドマスタ（価格・需要の勢い）</t>
  </si>
  <si>
    <t xml:space="preserve">トレンド</t>
  </si>
  <si>
    <t xml:space="preserve">上昇</t>
  </si>
  <si>
    <t xml:space="preserve">安定</t>
  </si>
  <si>
    <t xml:space="preserve">下降</t>
  </si>
  <si>
    <t xml:space="preserve">■ ボラティリティマスタ（価格の変動の荒さ）</t>
  </si>
  <si>
    <t xml:space="preserve">ボラティリティ</t>
  </si>
  <si>
    <t xml:space="preserve">高</t>
  </si>
  <si>
    <t xml:space="preserve">中</t>
  </si>
  <si>
    <t xml:space="preserve">低</t>
  </si>
  <si>
    <t xml:space="preserve">■ ステータスマスタ</t>
  </si>
  <si>
    <t xml:space="preserve">ステータス</t>
  </si>
  <si>
    <t xml:space="preserve">在庫中</t>
  </si>
  <si>
    <t xml:space="preserve">受注済</t>
  </si>
  <si>
    <t xml:space="preserve">売却済</t>
  </si>
  <si>
    <r>
      <rPr>
        <b val="true"/>
        <sz val="11"/>
        <color rgb="FF1F4E78"/>
        <rFont val="WenQuanYi Zen Hei"/>
        <family val="2"/>
      </rPr>
      <t xml:space="preserve">■ キャラクター集中リスク集計対象リスト（在庫管理シートで使うキャラ名を入力すると、ダッシュボードで自動集計されます。最大</t>
    </r>
    <r>
      <rPr>
        <b val="true"/>
        <sz val="11"/>
        <color rgb="FF1F4E78"/>
        <rFont val="Yu Gothic"/>
        <family val="0"/>
        <charset val="1"/>
      </rPr>
      <t xml:space="preserve">20</t>
    </r>
    <r>
      <rPr>
        <b val="true"/>
        <sz val="11"/>
        <color rgb="FF1F4E78"/>
        <rFont val="WenQuanYi Zen Hei"/>
        <family val="2"/>
      </rPr>
      <t xml:space="preserve">件）</t>
    </r>
  </si>
  <si>
    <t xml:space="preserve">キャラ名</t>
  </si>
  <si>
    <t xml:space="preserve">リザードン</t>
  </si>
  <si>
    <t xml:space="preserve">ルフィ</t>
  </si>
  <si>
    <t xml:space="preserve">青眼の白龍</t>
  </si>
  <si>
    <r>
      <rPr>
        <b val="true"/>
        <sz val="11"/>
        <color rgb="FF1F4E78"/>
        <rFont val="WenQuanYi Zen Hei"/>
        <family val="2"/>
      </rPr>
      <t xml:space="preserve">■ イラストレーター集中リスク集計対象リスト（最大</t>
    </r>
    <r>
      <rPr>
        <b val="true"/>
        <sz val="11"/>
        <color rgb="FF1F4E78"/>
        <rFont val="Yu Gothic"/>
        <family val="0"/>
        <charset val="1"/>
      </rPr>
      <t xml:space="preserve">20</t>
    </r>
    <r>
      <rPr>
        <b val="true"/>
        <sz val="11"/>
        <color rgb="FF1F4E78"/>
        <rFont val="WenQuanYi Zen Hei"/>
        <family val="2"/>
      </rPr>
      <t xml:space="preserve">件）</t>
    </r>
  </si>
  <si>
    <t xml:space="preserve">イラストレーター名</t>
  </si>
  <si>
    <r>
      <rPr>
        <sz val="10"/>
        <color rgb="FF0000FF"/>
        <rFont val="WenQuanYi Zen Hei"/>
        <family val="2"/>
      </rPr>
      <t xml:space="preserve">サンプル絵師</t>
    </r>
    <r>
      <rPr>
        <sz val="10"/>
        <color rgb="FF0000FF"/>
        <rFont val="Yu Gothic"/>
        <family val="0"/>
        <charset val="1"/>
      </rPr>
      <t xml:space="preserve">A</t>
    </r>
  </si>
  <si>
    <r>
      <rPr>
        <sz val="10"/>
        <color rgb="FF0000FF"/>
        <rFont val="WenQuanYi Zen Hei"/>
        <family val="2"/>
      </rPr>
      <t xml:space="preserve">サンプル絵師</t>
    </r>
    <r>
      <rPr>
        <sz val="10"/>
        <color rgb="FF0000FF"/>
        <rFont val="Yu Gothic"/>
        <family val="0"/>
        <charset val="1"/>
      </rPr>
      <t xml:space="preserve">B</t>
    </r>
  </si>
  <si>
    <r>
      <rPr>
        <b val="true"/>
        <sz val="16"/>
        <color rgb="FF1F4E78"/>
        <rFont val="WenQuanYi Zen Hei"/>
        <family val="2"/>
      </rPr>
      <t xml:space="preserve">ウォッチリスト（</t>
    </r>
    <r>
      <rPr>
        <b val="true"/>
        <sz val="16"/>
        <color rgb="FF1F4E78"/>
        <rFont val="Yu Gothic"/>
        <family val="0"/>
        <charset val="1"/>
      </rPr>
      <t xml:space="preserve">4</t>
    </r>
    <r>
      <rPr>
        <b val="true"/>
        <sz val="16"/>
        <color rgb="FF1F4E78"/>
        <rFont val="WenQuanYi Zen Hei"/>
        <family val="2"/>
      </rPr>
      <t xml:space="preserve">象限分類）</t>
    </r>
  </si>
  <si>
    <r>
      <rPr>
        <i val="true"/>
        <sz val="9"/>
        <color rgb="FF666666"/>
        <rFont val="WenQuanYi Zen Hei"/>
        <family val="2"/>
      </rPr>
      <t xml:space="preserve">スニダン等のウォッチリスト登録分を入力すると、想定売却日数・想定粗利率から自動で</t>
    </r>
    <r>
      <rPr>
        <i val="true"/>
        <sz val="9"/>
        <color rgb="FF666666"/>
        <rFont val="Yu Gothic"/>
        <family val="0"/>
        <charset val="1"/>
      </rPr>
      <t xml:space="preserve">4</t>
    </r>
    <r>
      <rPr>
        <i val="true"/>
        <sz val="9"/>
        <color rgb="FF666666"/>
        <rFont val="WenQuanYi Zen Hei"/>
        <family val="2"/>
      </rPr>
      <t xml:space="preserve">象限に振り分けます。青字セルのみ入力してください。</t>
    </r>
  </si>
  <si>
    <t xml:space="preserve">■ 象限別 候補数サマリー</t>
  </si>
  <si>
    <r>
      <rPr>
        <sz val="10"/>
        <color rgb="FF000000"/>
        <rFont val="Yu Gothic"/>
        <family val="0"/>
        <charset val="1"/>
      </rPr>
      <t xml:space="preserve">I(</t>
    </r>
    <r>
      <rPr>
        <sz val="10"/>
        <color rgb="FF000000"/>
        <rFont val="WenQuanYi Zen Hei"/>
        <family val="2"/>
      </rPr>
      <t xml:space="preserve">コア</t>
    </r>
    <r>
      <rPr>
        <sz val="10"/>
        <color rgb="FF000000"/>
        <rFont val="Yu Gothic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候補数</t>
    </r>
  </si>
  <si>
    <r>
      <rPr>
        <sz val="10"/>
        <color rgb="FF000000"/>
        <rFont val="Yu Gothic"/>
        <family val="0"/>
        <charset val="1"/>
      </rPr>
      <t xml:space="preserve">II(</t>
    </r>
    <r>
      <rPr>
        <sz val="10"/>
        <color rgb="FF000000"/>
        <rFont val="WenQuanYi Zen Hei"/>
        <family val="2"/>
      </rPr>
      <t xml:space="preserve">回転</t>
    </r>
    <r>
      <rPr>
        <sz val="10"/>
        <color rgb="FF000000"/>
        <rFont val="Yu Gothic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候補数</t>
    </r>
  </si>
  <si>
    <r>
      <rPr>
        <sz val="10"/>
        <color rgb="FF000000"/>
        <rFont val="Yu Gothic"/>
        <family val="0"/>
        <charset val="1"/>
      </rPr>
      <t xml:space="preserve">III(</t>
    </r>
    <r>
      <rPr>
        <sz val="10"/>
        <color rgb="FF000000"/>
        <rFont val="WenQuanYi Zen Hei"/>
        <family val="2"/>
      </rPr>
      <t xml:space="preserve">厳選</t>
    </r>
    <r>
      <rPr>
        <sz val="10"/>
        <color rgb="FF000000"/>
        <rFont val="Yu Gothic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候補数</t>
    </r>
  </si>
  <si>
    <r>
      <rPr>
        <sz val="10"/>
        <color rgb="FF000000"/>
        <rFont val="Yu Gothic"/>
        <family val="0"/>
        <charset val="1"/>
      </rPr>
      <t xml:space="preserve">IV(</t>
    </r>
    <r>
      <rPr>
        <sz val="10"/>
        <color rgb="FF000000"/>
        <rFont val="WenQuanYi Zen Hei"/>
        <family val="2"/>
      </rPr>
      <t xml:space="preserve">見送り</t>
    </r>
    <r>
      <rPr>
        <sz val="10"/>
        <color rgb="FF000000"/>
        <rFont val="Yu Gothic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候補数</t>
    </r>
  </si>
  <si>
    <t xml:space="preserve">No</t>
  </si>
  <si>
    <t xml:space="preserve">銘柄名</t>
  </si>
  <si>
    <t xml:space="preserve">スニダン参考価格
（現在相場）</t>
  </si>
  <si>
    <t xml:space="preserve">想定仕入値</t>
  </si>
  <si>
    <t xml:space="preserve">想定売却価格</t>
  </si>
  <si>
    <t xml:space="preserve">想定売却
日数</t>
  </si>
  <si>
    <t xml:space="preserve">想定粗利額</t>
  </si>
  <si>
    <t xml:space="preserve">想定粗利率</t>
  </si>
  <si>
    <t xml:space="preserve">象限</t>
  </si>
  <si>
    <t xml:space="preserve">仕入れ判定</t>
  </si>
  <si>
    <t xml:space="preserve">メモ</t>
  </si>
  <si>
    <r>
      <rPr>
        <sz val="10"/>
        <color rgb="FF0000FF"/>
        <rFont val="WenQuanYi Zen Hei"/>
        <family val="2"/>
      </rPr>
      <t xml:space="preserve">リザードン</t>
    </r>
    <r>
      <rPr>
        <sz val="10"/>
        <color rgb="FF0000FF"/>
        <rFont val="Yu Gothic"/>
        <family val="0"/>
        <charset val="1"/>
      </rPr>
      <t xml:space="preserve">VMAX</t>
    </r>
    <r>
      <rPr>
        <sz val="10"/>
        <color rgb="FF0000FF"/>
        <rFont val="WenQuanYi Zen Hei"/>
        <family val="2"/>
      </rPr>
      <t xml:space="preserve">（ポケモンカード）</t>
    </r>
  </si>
  <si>
    <r>
      <rPr>
        <sz val="10"/>
        <color rgb="FF0000FF"/>
        <rFont val="WenQuanYi Zen Hei"/>
        <family val="2"/>
      </rPr>
      <t xml:space="preserve">ルフィ </t>
    </r>
    <r>
      <rPr>
        <sz val="10"/>
        <color rgb="FF0000FF"/>
        <rFont val="Yu Gothic"/>
        <family val="0"/>
        <charset val="1"/>
      </rPr>
      <t xml:space="preserve">SEC</t>
    </r>
    <r>
      <rPr>
        <sz val="10"/>
        <color rgb="FF0000FF"/>
        <rFont val="WenQuanYi Zen Hei"/>
        <family val="2"/>
      </rPr>
      <t xml:space="preserve">（ワンピースカード）</t>
    </r>
  </si>
  <si>
    <t xml:space="preserve">青眼の白龍 初期（遊戯王）</t>
  </si>
  <si>
    <t xml:space="preserve">絶版・入手困難</t>
  </si>
  <si>
    <t xml:space="preserve">ピカチュウ プロモ（ポケモンカード）</t>
  </si>
  <si>
    <t xml:space="preserve">周年記念</t>
  </si>
  <si>
    <t xml:space="preserve">人気シングル（遊戯王）</t>
  </si>
  <si>
    <t xml:space="preserve">一般パック品（遊戯王）</t>
  </si>
  <si>
    <t xml:space="preserve">仕入れ計画（象限別ルール）</t>
  </si>
  <si>
    <t xml:space="preserve">「何を・いくらまで・どの希少性／トレンド／ボラティリティなら仕入れてよいか」を象限ごとに定義し、月間予算を配分します。黄色セルが判断の起点です。</t>
  </si>
  <si>
    <t xml:space="preserve">月間仕入れ総予算</t>
  </si>
  <si>
    <t xml:space="preserve">呼称</t>
  </si>
  <si>
    <t xml:space="preserve">方針</t>
  </si>
  <si>
    <t xml:space="preserve">対象タイトル例</t>
  </si>
  <si>
    <t xml:space="preserve">上限仕入単価</t>
  </si>
  <si>
    <t xml:space="preserve">許容希少性</t>
  </si>
  <si>
    <t xml:space="preserve">許容トレンド</t>
  </si>
  <si>
    <t xml:space="preserve">許容ボラティリティ</t>
  </si>
  <si>
    <t xml:space="preserve">予算配分比率</t>
  </si>
  <si>
    <t xml:space="preserve">予算配分金額</t>
  </si>
  <si>
    <t xml:space="preserve">在庫上限点数</t>
  </si>
  <si>
    <t xml:space="preserve">ウォッチ候補数</t>
  </si>
  <si>
    <t xml:space="preserve">現在庫点数</t>
  </si>
  <si>
    <t xml:space="preserve">積極的に仕入れる中心銘柄。優先確保。</t>
  </si>
  <si>
    <t xml:space="preserve">ポケモンカード、ワンピースカード</t>
  </si>
  <si>
    <r>
      <rPr>
        <sz val="10"/>
        <color rgb="FF0000FF"/>
        <rFont val="Yu Gothic"/>
        <family val="0"/>
        <charset val="1"/>
      </rPr>
      <t xml:space="preserve">S</t>
    </r>
    <r>
      <rPr>
        <sz val="10"/>
        <color rgb="FF0000FF"/>
        <rFont val="WenQuanYi Zen Hei"/>
        <family val="2"/>
      </rPr>
      <t xml:space="preserve">以上</t>
    </r>
  </si>
  <si>
    <t xml:space="preserve">低〜中</t>
  </si>
  <si>
    <t xml:space="preserve">資金回転重視。数量で稼ぐ。</t>
  </si>
  <si>
    <t xml:space="preserve">遊戯王、デュエル・マスターズ</t>
  </si>
  <si>
    <r>
      <rPr>
        <sz val="10"/>
        <color rgb="FF0000FF"/>
        <rFont val="Yu Gothic"/>
        <family val="0"/>
        <charset val="1"/>
      </rPr>
      <t xml:space="preserve">A</t>
    </r>
    <r>
      <rPr>
        <sz val="10"/>
        <color rgb="FF0000FF"/>
        <rFont val="WenQuanYi Zen Hei"/>
        <family val="2"/>
      </rPr>
      <t xml:space="preserve">以上</t>
    </r>
  </si>
  <si>
    <t xml:space="preserve">上昇・安定</t>
  </si>
  <si>
    <t xml:space="preserve">指定なし</t>
  </si>
  <si>
    <t xml:space="preserve">少数厳選。資金拘束を許容できる範囲で。</t>
  </si>
  <si>
    <t xml:space="preserve">原則仕入れ見送り。ウォッチのみ継続。</t>
  </si>
  <si>
    <t xml:space="preserve">-</t>
  </si>
  <si>
    <t xml:space="preserve">合計</t>
  </si>
  <si>
    <r>
      <rPr>
        <i val="true"/>
        <sz val="9"/>
        <color rgb="FF666666"/>
        <rFont val="WenQuanYi Zen Hei"/>
        <family val="2"/>
      </rPr>
      <t xml:space="preserve">※ 予算配分比率の合計は</t>
    </r>
    <r>
      <rPr>
        <i val="true"/>
        <sz val="9"/>
        <color rgb="FF666666"/>
        <rFont val="Yu Gothic"/>
        <family val="0"/>
        <charset val="1"/>
      </rPr>
      <t xml:space="preserve">100%</t>
    </r>
    <r>
      <rPr>
        <i val="true"/>
        <sz val="9"/>
        <color rgb="FF666666"/>
        <rFont val="WenQuanYi Zen Hei"/>
        <family val="2"/>
      </rPr>
      <t xml:space="preserve">になるように調整してください（赤色表示は</t>
    </r>
    <r>
      <rPr>
        <i val="true"/>
        <sz val="9"/>
        <color rgb="FF666666"/>
        <rFont val="Yu Gothic"/>
        <family val="0"/>
        <charset val="1"/>
      </rPr>
      <t xml:space="preserve">100%</t>
    </r>
    <r>
      <rPr>
        <i val="true"/>
        <sz val="9"/>
        <color rgb="FF666666"/>
        <rFont val="WenQuanYi Zen Hei"/>
        <family val="2"/>
      </rPr>
      <t xml:space="preserve">以外を意味します）。</t>
    </r>
  </si>
  <si>
    <t xml:space="preserve">※ 許容希少性／許容トレンド／許容ボラティリティは、ウォッチリスト・在庫管理シートの各カードの値と見比べて仕入れ可否を判断するための基準です。</t>
  </si>
  <si>
    <t xml:space="preserve">在庫管理シート（実在庫・ポートフォリオ管理）</t>
  </si>
  <si>
    <t xml:space="preserve">青字セルのみ入力してください。ステータスが「在庫中」の行のみ、集計・ポートフォリオ比率に反映されます。</t>
  </si>
  <si>
    <t xml:space="preserve">総仕入額（在庫中）</t>
  </si>
  <si>
    <t xml:space="preserve">総時価（在庫中）</t>
  </si>
  <si>
    <t xml:space="preserve">含み損益</t>
  </si>
  <si>
    <t xml:space="preserve">含み損益率</t>
  </si>
  <si>
    <t xml:space="preserve">在庫点数（在庫中）</t>
  </si>
  <si>
    <t xml:space="preserve">商品名</t>
  </si>
  <si>
    <t xml:space="preserve">キャラ</t>
  </si>
  <si>
    <t xml:space="preserve">イラストレーター</t>
  </si>
  <si>
    <t xml:space="preserve">絶版</t>
  </si>
  <si>
    <t xml:space="preserve">周年</t>
  </si>
  <si>
    <t xml:space="preserve">仕入日</t>
  </si>
  <si>
    <t xml:space="preserve">仕入値</t>
  </si>
  <si>
    <t xml:space="preserve">現在時価
（想定売却価格）</t>
  </si>
  <si>
    <t xml:space="preserve">ポートフォリオ
比率</t>
  </si>
  <si>
    <t xml:space="preserve">×</t>
  </si>
  <si>
    <t xml:space="preserve">2026-06-15</t>
  </si>
  <si>
    <t xml:space="preserve">2026-07-01</t>
  </si>
  <si>
    <t xml:space="preserve">○</t>
  </si>
  <si>
    <t xml:space="preserve">2026-05-20</t>
  </si>
  <si>
    <t xml:space="preserve">ピカチュウ</t>
  </si>
  <si>
    <t xml:space="preserve">2026-07-10</t>
  </si>
  <si>
    <t xml:space="preserve">2026-04-01</t>
  </si>
  <si>
    <t xml:space="preserve">ダッシュボード</t>
  </si>
  <si>
    <t xml:space="preserve">在庫管理シートを自動集計します。手入力は不要です（すべて数式）。</t>
  </si>
  <si>
    <t xml:space="preserve">■ 資金効率</t>
  </si>
  <si>
    <r>
      <rPr>
        <sz val="10"/>
        <color rgb="FF000000"/>
        <rFont val="WenQuanYi Zen Hei"/>
        <family val="2"/>
      </rPr>
      <t xml:space="preserve">資金倍率（時価 </t>
    </r>
    <r>
      <rPr>
        <sz val="10"/>
        <color rgb="FF000000"/>
        <rFont val="Yu Gothic"/>
        <family val="0"/>
        <charset val="1"/>
      </rPr>
      <t xml:space="preserve">÷ </t>
    </r>
    <r>
      <rPr>
        <sz val="10"/>
        <color rgb="FF000000"/>
        <rFont val="WenQuanYi Zen Hei"/>
        <family val="2"/>
      </rPr>
      <t xml:space="preserve">仕入額）</t>
    </r>
  </si>
  <si>
    <t xml:space="preserve">平均想定売却日数（時価加重）</t>
  </si>
  <si>
    <r>
      <rPr>
        <sz val="10"/>
        <color rgb="FF000000"/>
        <rFont val="WenQuanYi Zen Hei"/>
        <family val="2"/>
      </rPr>
      <t xml:space="preserve">在庫の入れ替わり回数（年間・</t>
    </r>
    <r>
      <rPr>
        <sz val="10"/>
        <color rgb="FF000000"/>
        <rFont val="Yu Gothic"/>
        <family val="0"/>
        <charset val="1"/>
      </rPr>
      <t xml:space="preserve">365</t>
    </r>
    <r>
      <rPr>
        <sz val="10"/>
        <color rgb="FF000000"/>
        <rFont val="WenQuanYi Zen Hei"/>
        <family val="2"/>
      </rPr>
      <t xml:space="preserve">日</t>
    </r>
    <r>
      <rPr>
        <sz val="10"/>
        <color rgb="FF000000"/>
        <rFont val="Yu Gothic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平均売却日数）</t>
    </r>
  </si>
  <si>
    <t xml:space="preserve">■ 換金のしやすさ</t>
  </si>
  <si>
    <t xml:space="preserve">早く売れる基準以内の在庫比率（時価ベース）</t>
  </si>
  <si>
    <t xml:space="preserve">売れ残りリスクが高い在庫比率（時価ベース）</t>
  </si>
  <si>
    <t xml:space="preserve">回転が速い在庫比率（コア＋回転、時価ベース）</t>
  </si>
  <si>
    <t xml:space="preserve">回転が遅い在庫比率（厳選＋見送り、時価ベース）</t>
  </si>
  <si>
    <r>
      <rPr>
        <b val="true"/>
        <sz val="11"/>
        <color rgb="FF1F4E78"/>
        <rFont val="WenQuanYi Zen Hei"/>
        <family val="2"/>
      </rPr>
      <t xml:space="preserve">■ 偏りリスク分析（特定の銘柄・カテゴリに偏っていないかを確認。数値が大きいほど偏りが大きい。目安：</t>
    </r>
    <r>
      <rPr>
        <b val="true"/>
        <sz val="11"/>
        <color rgb="FF1F4E78"/>
        <rFont val="Yu Gothic"/>
        <family val="0"/>
        <charset val="1"/>
      </rPr>
      <t xml:space="preserve">1,500</t>
    </r>
    <r>
      <rPr>
        <b val="true"/>
        <sz val="11"/>
        <color rgb="FF1F4E78"/>
        <rFont val="WenQuanYi Zen Hei"/>
        <family val="2"/>
      </rPr>
      <t xml:space="preserve">未満</t>
    </r>
    <r>
      <rPr>
        <b val="true"/>
        <sz val="11"/>
        <color rgb="FF1F4E78"/>
        <rFont val="Yu Gothic"/>
        <family val="0"/>
        <charset val="1"/>
      </rPr>
      <t xml:space="preserve">=</t>
    </r>
    <r>
      <rPr>
        <b val="true"/>
        <sz val="11"/>
        <color rgb="FF1F4E78"/>
        <rFont val="WenQuanYi Zen Hei"/>
        <family val="2"/>
      </rPr>
      <t xml:space="preserve">分散／</t>
    </r>
    <r>
      <rPr>
        <b val="true"/>
        <sz val="11"/>
        <color rgb="FF1F4E78"/>
        <rFont val="Yu Gothic"/>
        <family val="0"/>
        <charset val="1"/>
      </rPr>
      <t xml:space="preserve">1,500</t>
    </r>
    <r>
      <rPr>
        <b val="true"/>
        <sz val="11"/>
        <color rgb="FF1F4E78"/>
        <rFont val="WenQuanYi Zen Hei"/>
        <family val="2"/>
      </rPr>
      <t xml:space="preserve">〜</t>
    </r>
    <r>
      <rPr>
        <b val="true"/>
        <sz val="11"/>
        <color rgb="FF1F4E78"/>
        <rFont val="Yu Gothic"/>
        <family val="0"/>
        <charset val="1"/>
      </rPr>
      <t xml:space="preserve">2,500=</t>
    </r>
    <r>
      <rPr>
        <b val="true"/>
        <sz val="11"/>
        <color rgb="FF1F4E78"/>
        <rFont val="WenQuanYi Zen Hei"/>
        <family val="2"/>
      </rPr>
      <t xml:space="preserve">中程度／</t>
    </r>
    <r>
      <rPr>
        <b val="true"/>
        <sz val="11"/>
        <color rgb="FF1F4E78"/>
        <rFont val="Yu Gothic"/>
        <family val="0"/>
        <charset val="1"/>
      </rPr>
      <t xml:space="preserve">2,500</t>
    </r>
    <r>
      <rPr>
        <b val="true"/>
        <sz val="11"/>
        <color rgb="FF1F4E78"/>
        <rFont val="WenQuanYi Zen Hei"/>
        <family val="2"/>
      </rPr>
      <t xml:space="preserve">以上</t>
    </r>
    <r>
      <rPr>
        <b val="true"/>
        <sz val="11"/>
        <color rgb="FF1F4E78"/>
        <rFont val="Yu Gothic"/>
        <family val="0"/>
        <charset val="1"/>
      </rPr>
      <t xml:space="preserve">=</t>
    </r>
    <r>
      <rPr>
        <b val="true"/>
        <sz val="11"/>
        <color rgb="FF1F4E78"/>
        <rFont val="WenQuanYi Zen Hei"/>
        <family val="2"/>
      </rPr>
      <t xml:space="preserve">偏りが大きい）</t>
    </r>
  </si>
  <si>
    <t xml:space="preserve">時価（在庫中）</t>
  </si>
  <si>
    <t xml:space="preserve">構成比</t>
  </si>
  <si>
    <t xml:space="preserve">偏りスコア</t>
  </si>
  <si>
    <t xml:space="preserve">偏りの判定</t>
  </si>
  <si>
    <t xml:space="preserve">その他（未登録キャラ／タグなし）</t>
  </si>
  <si>
    <t xml:space="preserve">その他（未登録／タグなし）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</si>
</sst>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\日"/>
    <numFmt numFmtId="166" formatCode="0.0%;[RED]\-0.0%;\-"/>
    <numFmt numFmtId="167" formatCode="#,##0;[RED]\-#,##0;\-"/>
    <numFmt numFmtId="168" formatCode="\¥#,##0;[RED]&quot;-¥&quot;#,##0;\-"/>
    <numFmt numFmtId="169" formatCode="yyyy/mm/dd"/>
    <numFmt numFmtId="170" formatCode="0.00\x"/>
    <numFmt numFmtId="171" formatCode="0.0\日"/>
    <numFmt numFmtId="172" formatCode="0.00"/>
    <numFmt numFmtId="173" formatCode="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WenQuanYi Zen Hei"/>
      <family val="2"/>
    </font>
    <font>
      <i val="true"/>
      <sz val="9"/>
      <color rgb="FF666666"/>
      <name val="WenQuanYi Zen Hei"/>
      <family val="2"/>
    </font>
    <font>
      <i val="true"/>
      <sz val="9"/>
      <color rgb="FF666666"/>
      <name val="Yu Gothic"/>
      <family val="0"/>
      <charset val="1"/>
    </font>
    <font>
      <b val="true"/>
      <sz val="11"/>
      <color rgb="FF1F4E78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Yu Gothic"/>
      <family val="0"/>
      <charset val="1"/>
    </font>
    <font>
      <b val="true"/>
      <sz val="11"/>
      <color rgb="FF1F4E78"/>
      <name val="Yu Gothic"/>
      <family val="0"/>
      <charset val="1"/>
    </font>
    <font>
      <sz val="10"/>
      <color rgb="FF0000FF"/>
      <name val="Yu Gothic"/>
      <family val="0"/>
      <charset val="1"/>
    </font>
    <font>
      <b val="true"/>
      <sz val="11"/>
      <color rgb="FFFFFFFF"/>
      <name val="WenQuanYi Zen Hei"/>
      <family val="2"/>
    </font>
    <font>
      <sz val="10"/>
      <color rgb="FF0000FF"/>
      <name val="WenQuanYi Zen Hei"/>
      <family val="2"/>
    </font>
    <font>
      <b val="true"/>
      <sz val="16"/>
      <color rgb="FF1F4E78"/>
      <name val="Yu Gothic"/>
      <family val="0"/>
      <charset val="1"/>
    </font>
    <font>
      <b val="true"/>
      <sz val="11"/>
      <color rgb="FFFFFFFF"/>
      <name val="Yu Gothic"/>
      <family val="0"/>
      <charset val="1"/>
    </font>
    <font>
      <b val="true"/>
      <sz val="10"/>
      <name val="WenQuanYi Zen Hei"/>
      <family val="2"/>
    </font>
    <font>
      <b val="true"/>
      <sz val="10"/>
      <name val="Yu Gothic"/>
      <family val="0"/>
      <charset val="1"/>
    </font>
    <font>
      <sz val="10"/>
      <color rgb="FF008000"/>
      <name val="Yu Gothic"/>
      <family val="0"/>
      <charset val="1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C0504D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2E75B6"/>
      <rgbColor rgb="FF4BACC6"/>
      <rgbColor rgb="FF9BBB59"/>
      <rgbColor rgb="FFFFCC00"/>
      <rgbColor rgb="FFF79646"/>
      <rgbColor rgb="FFBF8F00"/>
      <rgbColor rgb="FF8064A2"/>
      <rgbColor rgb="FF878787"/>
      <rgbColor rgb="FF003366"/>
      <rgbColor rgb="FF4F81BD"/>
      <rgbColor rgb="FF003300"/>
      <rgbColor rgb="FF333300"/>
      <rgbColor rgb="FF993300"/>
      <rgbColor rgb="FF6666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ポートフォリオ構成（銘柄タイトル別・時価）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ダッシュボード!C22</c:f>
              <c:strCache>
                <c:ptCount val="1"/>
                <c:pt idx="0">
                  <c:v>時価（在庫中）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Pt>
            <c:idx val="5"/>
            <c:spPr>
              <a:solidFill>
                <a:srgbClr val="f79646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ダッシュボード!$B$23:$B$28</c:f>
              <c:strCache>
                <c:ptCount val="6"/>
                <c:pt idx="0">
                  <c:v>ポケモンカード</c:v>
                </c:pt>
                <c:pt idx="1">
                  <c:v>ワンピースカード</c:v>
                </c:pt>
                <c:pt idx="2">
                  <c:v>遊戯王</c:v>
                </c:pt>
                <c:pt idx="3">
                  <c:v>デュエル・マスターズ</c:v>
                </c:pt>
                <c:pt idx="4">
                  <c:v>マジック：ザ・ギャザリング</c:v>
                </c:pt>
                <c:pt idx="5">
                  <c:v>その他</c:v>
                </c:pt>
              </c:strCache>
            </c:strRef>
          </c:cat>
          <c:val>
            <c:numRef>
              <c:f>ダッシュボード!$C$23:$C$28</c:f>
              <c:numCache>
                <c:formatCode>\¥#,##0;[RED]"-¥"#,##0;\-</c:formatCode>
                <c:ptCount val="6"/>
                <c:pt idx="0">
                  <c:v>31000</c:v>
                </c:pt>
                <c:pt idx="1">
                  <c:v>18500</c:v>
                </c:pt>
                <c:pt idx="2">
                  <c:v>49000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象限別 時価（在庫中）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ダッシュボード!H22</c:f>
              <c:strCache>
                <c:ptCount val="1"/>
                <c:pt idx="0">
                  <c:v>時価（在庫中）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ダッシュボード!$G$23:$G$26</c:f>
              <c:strCache>
                <c:ptCount val="4"/>
                <c:pt idx="0">
                  <c:v>I(コア)</c:v>
                </c:pt>
                <c:pt idx="1">
                  <c:v>II(回転)</c:v>
                </c:pt>
                <c:pt idx="2">
                  <c:v>III(厳選)</c:v>
                </c:pt>
                <c:pt idx="3">
                  <c:v>IV(見送り)</c:v>
                </c:pt>
              </c:strCache>
            </c:strRef>
          </c:cat>
          <c:val>
            <c:numRef>
              <c:f>ダッシュボード!$H$23:$H$26</c:f>
              <c:numCache>
                <c:formatCode>\¥#,##0;[RED]"-¥"#,##0;\-</c:formatCode>
                <c:ptCount val="4"/>
                <c:pt idx="0">
                  <c:v>31000</c:v>
                </c:pt>
                <c:pt idx="1">
                  <c:v>18500</c:v>
                </c:pt>
                <c:pt idx="2">
                  <c:v>49000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52292637"/>
        <c:axId val="43809179"/>
      </c:barChart>
      <c:catAx>
        <c:axId val="522926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809179"/>
        <c:crosses val="autoZero"/>
        <c:auto val="1"/>
        <c:lblAlgn val="ctr"/>
        <c:lblOffset val="100"/>
        <c:noMultiLvlLbl val="0"/>
      </c:catAx>
      <c:valAx>
        <c:axId val="438091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時価（円）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¥#,##0;[RED]&quot;-¥&quot;#,##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29263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</xdr:row>
      <xdr:rowOff>131040</xdr:rowOff>
    </xdr:from>
    <xdr:to>
      <xdr:col>18</xdr:col>
      <xdr:colOff>486720</xdr:colOff>
      <xdr:row>18</xdr:row>
      <xdr:rowOff>153000</xdr:rowOff>
    </xdr:to>
    <xdr:graphicFrame>
      <xdr:nvGraphicFramePr>
        <xdr:cNvPr id="0" name="Chart 1"/>
        <xdr:cNvGraphicFramePr/>
      </xdr:nvGraphicFramePr>
      <xdr:xfrm>
        <a:off x="14490720" y="76212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20</xdr:row>
      <xdr:rowOff>131040</xdr:rowOff>
    </xdr:from>
    <xdr:to>
      <xdr:col>18</xdr:col>
      <xdr:colOff>486720</xdr:colOff>
      <xdr:row>35</xdr:row>
      <xdr:rowOff>153000</xdr:rowOff>
    </xdr:to>
    <xdr:graphicFrame>
      <xdr:nvGraphicFramePr>
        <xdr:cNvPr id="1" name="Chart 2"/>
        <xdr:cNvGraphicFramePr/>
      </xdr:nvGraphicFramePr>
      <xdr:xfrm>
        <a:off x="14490720" y="400068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B2:B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2" customFormat="false" ht="24" hidden="false" customHeight="tru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26.8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26.8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5" t="s">
        <v>8</v>
      </c>
    </row>
    <row r="12" customFormat="false" ht="26.85" hidden="false" customHeight="false" outlineLevel="0" collapsed="false">
      <c r="B12" s="4" t="s">
        <v>9</v>
      </c>
    </row>
    <row r="13" customFormat="false" ht="26.8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3" t="s">
        <v>11</v>
      </c>
    </row>
    <row r="15" customFormat="false" ht="15" hidden="false" customHeight="false" outlineLevel="0" collapsed="false">
      <c r="B15" s="4" t="s">
        <v>12</v>
      </c>
    </row>
    <row r="16" customFormat="false" ht="15" hidden="false" customHeight="false" outlineLevel="0" collapsed="false">
      <c r="B16" s="4" t="s">
        <v>13</v>
      </c>
    </row>
    <row r="17" customFormat="false" ht="15" hidden="false" customHeight="false" outlineLevel="0" collapsed="false">
      <c r="B17" s="4" t="s">
        <v>14</v>
      </c>
    </row>
    <row r="18" customFormat="false" ht="15" hidden="false" customHeight="false" outlineLevel="0" collapsed="false">
      <c r="B18" s="4" t="s">
        <v>15</v>
      </c>
    </row>
    <row r="19" customFormat="false" ht="15" hidden="false" customHeight="false" outlineLevel="0" collapsed="false">
      <c r="B19" s="3" t="s">
        <v>16</v>
      </c>
    </row>
    <row r="20" customFormat="false" ht="15" hidden="false" customHeight="false" outlineLevel="0" collapsed="false">
      <c r="B20" s="4" t="s">
        <v>17</v>
      </c>
    </row>
    <row r="21" customFormat="false" ht="15" hidden="false" customHeight="false" outlineLevel="0" collapsed="false">
      <c r="B21" s="4" t="s">
        <v>18</v>
      </c>
    </row>
    <row r="22" customFormat="false" ht="15" hidden="false" customHeight="false" outlineLevel="0" collapsed="false">
      <c r="B22" s="4" t="s">
        <v>19</v>
      </c>
    </row>
    <row r="23" customFormat="false" ht="15" hidden="false" customHeight="false" outlineLevel="0" collapsed="false">
      <c r="B23" s="4" t="s">
        <v>20</v>
      </c>
    </row>
    <row r="24" customFormat="false" ht="15" hidden="false" customHeight="false" outlineLevel="0" collapsed="false">
      <c r="B24" s="4" t="s">
        <v>21</v>
      </c>
    </row>
    <row r="25" customFormat="false" ht="15" hidden="false" customHeight="false" outlineLevel="0" collapsed="false">
      <c r="B25" s="3" t="s">
        <v>22</v>
      </c>
    </row>
    <row r="26" customFormat="false" ht="15" hidden="false" customHeight="false" outlineLevel="0" collapsed="false">
      <c r="B26" s="4" t="s">
        <v>23</v>
      </c>
    </row>
    <row r="27" customFormat="false" ht="26.85" hidden="false" customHeight="false" outlineLevel="0" collapsed="false">
      <c r="B27" s="4" t="s">
        <v>24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B2:E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4" min="3" style="0" width="16"/>
    <col collapsed="false" customWidth="true" hidden="false" outlineLevel="0" max="5" min="5" style="0" width="40"/>
  </cols>
  <sheetData>
    <row r="2" customFormat="false" ht="19.7" hidden="false" customHeight="false" outlineLevel="0" collapsed="false">
      <c r="B2" s="1" t="s">
        <v>25</v>
      </c>
    </row>
    <row r="3" customFormat="false" ht="15" hidden="false" customHeight="false" outlineLevel="0" collapsed="false">
      <c r="B3" s="6" t="s">
        <v>26</v>
      </c>
    </row>
    <row r="5" customFormat="false" ht="15" hidden="false" customHeight="false" outlineLevel="0" collapsed="false">
      <c r="B5" s="5" t="s">
        <v>27</v>
      </c>
    </row>
    <row r="6" customFormat="false" ht="15" hidden="false" customHeight="false" outlineLevel="0" collapsed="false">
      <c r="B6" s="7" t="s">
        <v>28</v>
      </c>
      <c r="C6" s="8" t="n">
        <v>30</v>
      </c>
    </row>
    <row r="7" customFormat="false" ht="15" hidden="false" customHeight="false" outlineLevel="0" collapsed="false">
      <c r="B7" s="7" t="s">
        <v>29</v>
      </c>
      <c r="C7" s="9" t="n">
        <v>0.2</v>
      </c>
    </row>
    <row r="8" customFormat="false" ht="15" hidden="false" customHeight="false" outlineLevel="0" collapsed="false">
      <c r="B8" s="7" t="s">
        <v>30</v>
      </c>
      <c r="C8" s="8" t="n">
        <v>90</v>
      </c>
    </row>
    <row r="9" customFormat="false" ht="15" hidden="false" customHeight="false" outlineLevel="0" collapsed="false">
      <c r="B9" s="2" t="s">
        <v>31</v>
      </c>
    </row>
    <row r="11" customFormat="false" ht="15" hidden="false" customHeight="false" outlineLevel="0" collapsed="false">
      <c r="B11" s="5" t="s">
        <v>32</v>
      </c>
    </row>
    <row r="12" customFormat="false" ht="15" hidden="false" customHeight="false" outlineLevel="0" collapsed="false">
      <c r="B12" s="10" t="s">
        <v>33</v>
      </c>
      <c r="C12" s="10" t="s">
        <v>34</v>
      </c>
      <c r="D12" s="10" t="s">
        <v>35</v>
      </c>
      <c r="E12" s="10" t="s">
        <v>36</v>
      </c>
    </row>
    <row r="13" customFormat="false" ht="15" hidden="false" customHeight="false" outlineLevel="0" collapsed="false">
      <c r="B13" s="11" t="s">
        <v>37</v>
      </c>
      <c r="C13" s="12" t="s">
        <v>38</v>
      </c>
      <c r="D13" s="12" t="s">
        <v>39</v>
      </c>
      <c r="E13" s="12" t="s">
        <v>40</v>
      </c>
    </row>
    <row r="14" customFormat="false" ht="15" hidden="false" customHeight="false" outlineLevel="0" collapsed="false">
      <c r="B14" s="11" t="s">
        <v>41</v>
      </c>
      <c r="C14" s="12" t="s">
        <v>38</v>
      </c>
      <c r="D14" s="12" t="s">
        <v>42</v>
      </c>
      <c r="E14" s="12" t="s">
        <v>43</v>
      </c>
    </row>
    <row r="15" customFormat="false" ht="15" hidden="false" customHeight="false" outlineLevel="0" collapsed="false">
      <c r="B15" s="11" t="s">
        <v>44</v>
      </c>
      <c r="C15" s="12" t="s">
        <v>45</v>
      </c>
      <c r="D15" s="12" t="s">
        <v>39</v>
      </c>
      <c r="E15" s="12" t="s">
        <v>46</v>
      </c>
    </row>
    <row r="16" customFormat="false" ht="15" hidden="false" customHeight="false" outlineLevel="0" collapsed="false">
      <c r="B16" s="11" t="s">
        <v>47</v>
      </c>
      <c r="C16" s="12" t="s">
        <v>45</v>
      </c>
      <c r="D16" s="12" t="s">
        <v>42</v>
      </c>
      <c r="E16" s="12" t="s">
        <v>48</v>
      </c>
    </row>
    <row r="18" customFormat="false" ht="15" hidden="false" customHeight="false" outlineLevel="0" collapsed="false">
      <c r="B18" s="3" t="s">
        <v>49</v>
      </c>
    </row>
    <row r="19" customFormat="false" ht="15" hidden="false" customHeight="false" outlineLevel="0" collapsed="false">
      <c r="B19" s="10" t="s">
        <v>50</v>
      </c>
    </row>
    <row r="20" customFormat="false" ht="15" hidden="false" customHeight="false" outlineLevel="0" collapsed="false">
      <c r="B20" s="13" t="s">
        <v>51</v>
      </c>
    </row>
    <row r="21" customFormat="false" ht="15" hidden="false" customHeight="false" outlineLevel="0" collapsed="false">
      <c r="B21" s="13" t="s">
        <v>52</v>
      </c>
    </row>
    <row r="22" customFormat="false" ht="15" hidden="false" customHeight="false" outlineLevel="0" collapsed="false">
      <c r="B22" s="13" t="s">
        <v>53</v>
      </c>
    </row>
    <row r="23" customFormat="false" ht="15" hidden="false" customHeight="false" outlineLevel="0" collapsed="false">
      <c r="B23" s="13" t="s">
        <v>54</v>
      </c>
    </row>
    <row r="24" customFormat="false" ht="15" hidden="false" customHeight="false" outlineLevel="0" collapsed="false">
      <c r="B24" s="13" t="s">
        <v>55</v>
      </c>
    </row>
    <row r="25" customFormat="false" ht="15" hidden="false" customHeight="false" outlineLevel="0" collapsed="false">
      <c r="B25" s="13" t="s">
        <v>56</v>
      </c>
    </row>
    <row r="27" customFormat="false" ht="15" hidden="false" customHeight="false" outlineLevel="0" collapsed="false">
      <c r="B27" s="3" t="s">
        <v>57</v>
      </c>
    </row>
    <row r="28" customFormat="false" ht="15" hidden="false" customHeight="false" outlineLevel="0" collapsed="false">
      <c r="B28" s="10" t="s">
        <v>58</v>
      </c>
    </row>
    <row r="29" customFormat="false" ht="15" hidden="false" customHeight="false" outlineLevel="0" collapsed="false">
      <c r="B29" s="14" t="s">
        <v>59</v>
      </c>
    </row>
    <row r="30" customFormat="false" ht="15" hidden="false" customHeight="false" outlineLevel="0" collapsed="false">
      <c r="B30" s="14" t="s">
        <v>60</v>
      </c>
    </row>
    <row r="31" customFormat="false" ht="15" hidden="false" customHeight="false" outlineLevel="0" collapsed="false">
      <c r="B31" s="14" t="s">
        <v>61</v>
      </c>
    </row>
    <row r="32" customFormat="false" ht="15" hidden="false" customHeight="false" outlineLevel="0" collapsed="false">
      <c r="B32" s="14" t="s">
        <v>62</v>
      </c>
    </row>
    <row r="33" customFormat="false" ht="15" hidden="false" customHeight="false" outlineLevel="0" collapsed="false">
      <c r="B33" s="14" t="s">
        <v>63</v>
      </c>
    </row>
    <row r="35" customFormat="false" ht="15" hidden="false" customHeight="false" outlineLevel="0" collapsed="false">
      <c r="B35" s="3" t="s">
        <v>64</v>
      </c>
    </row>
    <row r="36" customFormat="false" ht="15" hidden="false" customHeight="false" outlineLevel="0" collapsed="false">
      <c r="B36" s="10" t="s">
        <v>65</v>
      </c>
    </row>
    <row r="37" customFormat="false" ht="15" hidden="false" customHeight="false" outlineLevel="0" collapsed="false">
      <c r="B37" s="13" t="s">
        <v>66</v>
      </c>
    </row>
    <row r="38" customFormat="false" ht="15" hidden="false" customHeight="false" outlineLevel="0" collapsed="false">
      <c r="B38" s="13" t="s">
        <v>67</v>
      </c>
    </row>
    <row r="39" customFormat="false" ht="15" hidden="false" customHeight="false" outlineLevel="0" collapsed="false">
      <c r="B39" s="13" t="s">
        <v>68</v>
      </c>
    </row>
    <row r="41" customFormat="false" ht="15" hidden="false" customHeight="false" outlineLevel="0" collapsed="false">
      <c r="B41" s="3" t="s">
        <v>69</v>
      </c>
    </row>
    <row r="42" customFormat="false" ht="15" hidden="false" customHeight="false" outlineLevel="0" collapsed="false">
      <c r="B42" s="10" t="s">
        <v>70</v>
      </c>
    </row>
    <row r="43" customFormat="false" ht="15" hidden="false" customHeight="false" outlineLevel="0" collapsed="false">
      <c r="B43" s="13" t="s">
        <v>71</v>
      </c>
    </row>
    <row r="44" customFormat="false" ht="15" hidden="false" customHeight="false" outlineLevel="0" collapsed="false">
      <c r="B44" s="13" t="s">
        <v>72</v>
      </c>
    </row>
    <row r="45" customFormat="false" ht="15" hidden="false" customHeight="false" outlineLevel="0" collapsed="false">
      <c r="B45" s="13" t="s">
        <v>73</v>
      </c>
    </row>
    <row r="47" customFormat="false" ht="15" hidden="false" customHeight="false" outlineLevel="0" collapsed="false">
      <c r="B47" s="3" t="s">
        <v>74</v>
      </c>
    </row>
    <row r="48" customFormat="false" ht="15" hidden="false" customHeight="false" outlineLevel="0" collapsed="false">
      <c r="B48" s="10" t="s">
        <v>75</v>
      </c>
    </row>
    <row r="49" customFormat="false" ht="15" hidden="false" customHeight="false" outlineLevel="0" collapsed="false">
      <c r="B49" s="13" t="s">
        <v>76</v>
      </c>
    </row>
    <row r="50" customFormat="false" ht="15" hidden="false" customHeight="false" outlineLevel="0" collapsed="false">
      <c r="B50" s="13" t="s">
        <v>77</v>
      </c>
    </row>
    <row r="51" customFormat="false" ht="15" hidden="false" customHeight="false" outlineLevel="0" collapsed="false">
      <c r="B51" s="13" t="s">
        <v>78</v>
      </c>
    </row>
    <row r="53" customFormat="false" ht="15" hidden="false" customHeight="false" outlineLevel="0" collapsed="false">
      <c r="B53" s="3" t="s">
        <v>79</v>
      </c>
    </row>
    <row r="54" customFormat="false" ht="15" hidden="false" customHeight="false" outlineLevel="0" collapsed="false">
      <c r="B54" s="10" t="s">
        <v>80</v>
      </c>
    </row>
    <row r="55" customFormat="false" ht="15" hidden="false" customHeight="false" outlineLevel="0" collapsed="false">
      <c r="B55" s="13" t="s">
        <v>81</v>
      </c>
    </row>
    <row r="56" customFormat="false" ht="15" hidden="false" customHeight="false" outlineLevel="0" collapsed="false">
      <c r="B56" s="13" t="s">
        <v>82</v>
      </c>
    </row>
    <row r="57" customFormat="false" ht="15" hidden="false" customHeight="false" outlineLevel="0" collapsed="false">
      <c r="B57" s="13" t="s">
        <v>83</v>
      </c>
    </row>
    <row r="58" customFormat="false" ht="15" hidden="false" customHeight="false" outlineLevel="0" collapsed="false">
      <c r="B58" s="14"/>
    </row>
    <row r="59" customFormat="false" ht="15" hidden="false" customHeight="false" outlineLevel="0" collapsed="false">
      <c r="B59" s="14"/>
    </row>
    <row r="60" customFormat="false" ht="15" hidden="false" customHeight="false" outlineLevel="0" collapsed="false">
      <c r="B60" s="14"/>
    </row>
    <row r="61" customFormat="false" ht="15" hidden="false" customHeight="false" outlineLevel="0" collapsed="false">
      <c r="B61" s="14"/>
    </row>
    <row r="62" customFormat="false" ht="15" hidden="false" customHeight="false" outlineLevel="0" collapsed="false">
      <c r="B62" s="14"/>
    </row>
    <row r="63" customFormat="false" ht="15" hidden="false" customHeight="false" outlineLevel="0" collapsed="false">
      <c r="B63" s="14"/>
    </row>
    <row r="64" customFormat="false" ht="15" hidden="false" customHeight="false" outlineLevel="0" collapsed="false">
      <c r="B64" s="14"/>
    </row>
    <row r="65" customFormat="false" ht="15" hidden="false" customHeight="false" outlineLevel="0" collapsed="false">
      <c r="B65" s="14"/>
    </row>
    <row r="66" customFormat="false" ht="15" hidden="false" customHeight="false" outlineLevel="0" collapsed="false">
      <c r="B66" s="14"/>
    </row>
    <row r="67" customFormat="false" ht="15" hidden="false" customHeight="false" outlineLevel="0" collapsed="false">
      <c r="B67" s="14"/>
    </row>
    <row r="68" customFormat="false" ht="15" hidden="false" customHeight="false" outlineLevel="0" collapsed="false">
      <c r="B68" s="14"/>
    </row>
    <row r="69" customFormat="false" ht="15" hidden="false" customHeight="false" outlineLevel="0" collapsed="false">
      <c r="B69" s="14"/>
    </row>
    <row r="70" customFormat="false" ht="15" hidden="false" customHeight="false" outlineLevel="0" collapsed="false">
      <c r="B70" s="14"/>
    </row>
    <row r="71" customFormat="false" ht="15" hidden="false" customHeight="false" outlineLevel="0" collapsed="false">
      <c r="B71" s="14"/>
    </row>
    <row r="72" customFormat="false" ht="15" hidden="false" customHeight="false" outlineLevel="0" collapsed="false">
      <c r="B72" s="14"/>
    </row>
    <row r="73" customFormat="false" ht="15" hidden="false" customHeight="false" outlineLevel="0" collapsed="false">
      <c r="B73" s="14"/>
    </row>
    <row r="74" customFormat="false" ht="15" hidden="false" customHeight="false" outlineLevel="0" collapsed="false">
      <c r="B74" s="14"/>
    </row>
    <row r="76" customFormat="false" ht="15" hidden="false" customHeight="false" outlineLevel="0" collapsed="false">
      <c r="B76" s="3" t="s">
        <v>84</v>
      </c>
    </row>
    <row r="77" customFormat="false" ht="15" hidden="false" customHeight="false" outlineLevel="0" collapsed="false">
      <c r="B77" s="10" t="s">
        <v>85</v>
      </c>
    </row>
    <row r="78" customFormat="false" ht="15" hidden="false" customHeight="false" outlineLevel="0" collapsed="false">
      <c r="B78" s="13" t="s">
        <v>86</v>
      </c>
    </row>
    <row r="79" customFormat="false" ht="15" hidden="false" customHeight="false" outlineLevel="0" collapsed="false">
      <c r="B79" s="13" t="s">
        <v>87</v>
      </c>
    </row>
    <row r="80" customFormat="false" ht="15" hidden="false" customHeight="false" outlineLevel="0" collapsed="false">
      <c r="B80" s="14"/>
    </row>
    <row r="81" customFormat="false" ht="15" hidden="false" customHeight="false" outlineLevel="0" collapsed="false">
      <c r="B81" s="14"/>
    </row>
    <row r="82" customFormat="false" ht="15" hidden="false" customHeight="false" outlineLevel="0" collapsed="false">
      <c r="B82" s="14"/>
    </row>
    <row r="83" customFormat="false" ht="15" hidden="false" customHeight="false" outlineLevel="0" collapsed="false">
      <c r="B83" s="14"/>
    </row>
    <row r="84" customFormat="false" ht="15" hidden="false" customHeight="false" outlineLevel="0" collapsed="false">
      <c r="B84" s="14"/>
    </row>
    <row r="85" customFormat="false" ht="15" hidden="false" customHeight="false" outlineLevel="0" collapsed="false">
      <c r="B85" s="14"/>
    </row>
    <row r="86" customFormat="false" ht="15" hidden="false" customHeight="false" outlineLevel="0" collapsed="false">
      <c r="B86" s="14"/>
    </row>
    <row r="87" customFormat="false" ht="15" hidden="false" customHeight="false" outlineLevel="0" collapsed="false">
      <c r="B87" s="14"/>
    </row>
    <row r="88" customFormat="false" ht="15" hidden="false" customHeight="false" outlineLevel="0" collapsed="false">
      <c r="B88" s="14"/>
    </row>
    <row r="89" customFormat="false" ht="15" hidden="false" customHeight="false" outlineLevel="0" collapsed="false">
      <c r="B89" s="14"/>
    </row>
    <row r="90" customFormat="false" ht="15" hidden="false" customHeight="false" outlineLevel="0" collapsed="false">
      <c r="B90" s="14"/>
    </row>
    <row r="91" customFormat="false" ht="15" hidden="false" customHeight="false" outlineLevel="0" collapsed="false">
      <c r="B91" s="14"/>
    </row>
    <row r="92" customFormat="false" ht="15" hidden="false" customHeight="false" outlineLevel="0" collapsed="false">
      <c r="B92" s="14"/>
    </row>
    <row r="93" customFormat="false" ht="15" hidden="false" customHeight="false" outlineLevel="0" collapsed="false">
      <c r="B93" s="14"/>
    </row>
    <row r="94" customFormat="false" ht="15" hidden="false" customHeight="false" outlineLevel="0" collapsed="false">
      <c r="B94" s="14"/>
    </row>
    <row r="95" customFormat="false" ht="15" hidden="false" customHeight="false" outlineLevel="0" collapsed="false">
      <c r="B95" s="14"/>
    </row>
    <row r="96" customFormat="false" ht="15" hidden="false" customHeight="false" outlineLevel="0" collapsed="false">
      <c r="B96" s="14"/>
    </row>
    <row r="97" customFormat="false" ht="15" hidden="false" customHeight="false" outlineLevel="0" collapsed="false">
      <c r="B97" s="14"/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2:O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13" min="8" style="0" width="12"/>
    <col collapsed="false" customWidth="true" hidden="false" outlineLevel="0" max="14" min="14" style="0" width="16"/>
    <col collapsed="false" customWidth="true" hidden="false" outlineLevel="0" max="15" min="15" style="0" width="24"/>
  </cols>
  <sheetData>
    <row r="2" customFormat="false" ht="20.85" hidden="false" customHeight="false" outlineLevel="0" collapsed="false">
      <c r="B2" s="1" t="s">
        <v>88</v>
      </c>
    </row>
    <row r="3" customFormat="false" ht="15" hidden="false" customHeight="false" outlineLevel="0" collapsed="false">
      <c r="B3" s="2" t="s">
        <v>89</v>
      </c>
    </row>
    <row r="5" customFormat="false" ht="15" hidden="false" customHeight="false" outlineLevel="0" collapsed="false">
      <c r="B5" s="3" t="s">
        <v>90</v>
      </c>
    </row>
    <row r="6" customFormat="false" ht="15" hidden="false" customHeight="false" outlineLevel="0" collapsed="false">
      <c r="B6" s="15" t="s">
        <v>91</v>
      </c>
      <c r="C6" s="16" t="n">
        <f aca="false">COUNTIF(M13:M112,"I(コア)")</f>
        <v>2</v>
      </c>
    </row>
    <row r="7" customFormat="false" ht="15" hidden="false" customHeight="false" outlineLevel="0" collapsed="false">
      <c r="B7" s="15" t="s">
        <v>92</v>
      </c>
      <c r="C7" s="16" t="n">
        <f aca="false">COUNTIF(M13:M112,"II(回転)")</f>
        <v>1</v>
      </c>
    </row>
    <row r="8" customFormat="false" ht="15" hidden="false" customHeight="false" outlineLevel="0" collapsed="false">
      <c r="B8" s="15" t="s">
        <v>93</v>
      </c>
      <c r="C8" s="16" t="n">
        <f aca="false">COUNTIF(M13:M112,"III(厳選)")</f>
        <v>2</v>
      </c>
    </row>
    <row r="9" customFormat="false" ht="15" hidden="false" customHeight="false" outlineLevel="0" collapsed="false">
      <c r="B9" s="15" t="s">
        <v>94</v>
      </c>
      <c r="C9" s="16" t="n">
        <f aca="false">COUNTIF(M13:M112,"IV(見送り)")</f>
        <v>1</v>
      </c>
    </row>
    <row r="12" customFormat="false" ht="41.75" hidden="false" customHeight="false" outlineLevel="0" collapsed="false">
      <c r="A12" s="17" t="s">
        <v>95</v>
      </c>
      <c r="B12" s="10" t="s">
        <v>96</v>
      </c>
      <c r="C12" s="10" t="s">
        <v>50</v>
      </c>
      <c r="D12" s="10" t="s">
        <v>58</v>
      </c>
      <c r="E12" s="10" t="s">
        <v>65</v>
      </c>
      <c r="F12" s="10" t="s">
        <v>70</v>
      </c>
      <c r="G12" s="10" t="s">
        <v>97</v>
      </c>
      <c r="H12" s="10" t="s">
        <v>98</v>
      </c>
      <c r="I12" s="10" t="s">
        <v>99</v>
      </c>
      <c r="J12" s="10" t="s">
        <v>100</v>
      </c>
      <c r="K12" s="10" t="s">
        <v>101</v>
      </c>
      <c r="L12" s="10" t="s">
        <v>102</v>
      </c>
      <c r="M12" s="10" t="s">
        <v>103</v>
      </c>
      <c r="N12" s="10" t="s">
        <v>104</v>
      </c>
      <c r="O12" s="10" t="s">
        <v>105</v>
      </c>
    </row>
    <row r="13" customFormat="false" ht="15" hidden="false" customHeight="false" outlineLevel="0" collapsed="false">
      <c r="A13" s="16" t="n">
        <f aca="false">IF(B13="","",ROW()-12)</f>
        <v>1</v>
      </c>
      <c r="B13" s="18" t="s">
        <v>106</v>
      </c>
      <c r="C13" s="18" t="s">
        <v>51</v>
      </c>
      <c r="D13" s="19" t="s">
        <v>59</v>
      </c>
      <c r="E13" s="18" t="s">
        <v>66</v>
      </c>
      <c r="F13" s="18" t="s">
        <v>73</v>
      </c>
      <c r="G13" s="20" t="n">
        <v>28000</v>
      </c>
      <c r="H13" s="20" t="n">
        <v>22000</v>
      </c>
      <c r="I13" s="20" t="n">
        <v>32000</v>
      </c>
      <c r="J13" s="21" t="n">
        <v>15</v>
      </c>
      <c r="K13" s="22" t="n">
        <f aca="false">IF(B13="","",I13-H13)</f>
        <v>10000</v>
      </c>
      <c r="L13" s="23" t="n">
        <f aca="false">IF(B13="","",IF(H13=0,"",K13/H13))</f>
        <v>0.454545454545455</v>
      </c>
      <c r="M13" s="7" t="str">
        <f aca="false">IF(B13="","",IF(J13&lt;=設定!$C$6,IF(L13&gt;=設定!$C$7,"I(コア)","II(回転)"),IF(L13&gt;=設定!$C$7,"III(厳選)","IV(見送り)")))</f>
        <v>I(コア)</v>
      </c>
      <c r="N13" s="7" t="str">
        <f aca="false">IF(B13="","",IF(OR(M13="I(コア)",M13="II(回転)"),"仕入れ候補",IF(M13="III(厳選)","厳選検討（少数）","見送り")))</f>
        <v>仕入れ候補</v>
      </c>
      <c r="O13" s="18"/>
    </row>
    <row r="14" customFormat="false" ht="15" hidden="false" customHeight="false" outlineLevel="0" collapsed="false">
      <c r="A14" s="16" t="n">
        <f aca="false">IF(B14="","",ROW()-12)</f>
        <v>2</v>
      </c>
      <c r="B14" s="18" t="s">
        <v>107</v>
      </c>
      <c r="C14" s="18" t="s">
        <v>52</v>
      </c>
      <c r="D14" s="19" t="s">
        <v>60</v>
      </c>
      <c r="E14" s="18" t="s">
        <v>66</v>
      </c>
      <c r="F14" s="18" t="s">
        <v>72</v>
      </c>
      <c r="G14" s="20" t="n">
        <v>18000</v>
      </c>
      <c r="H14" s="20" t="n">
        <v>15000</v>
      </c>
      <c r="I14" s="20" t="n">
        <v>19500</v>
      </c>
      <c r="J14" s="21" t="n">
        <v>20</v>
      </c>
      <c r="K14" s="22" t="n">
        <f aca="false">IF(B14="","",I14-H14)</f>
        <v>4500</v>
      </c>
      <c r="L14" s="23" t="n">
        <f aca="false">IF(B14="","",IF(H14=0,"",K14/H14))</f>
        <v>0.3</v>
      </c>
      <c r="M14" s="7" t="str">
        <f aca="false">IF(B14="","",IF(J14&lt;=設定!$C$6,IF(L14&gt;=設定!$C$7,"I(コア)","II(回転)"),IF(L14&gt;=設定!$C$7,"III(厳選)","IV(見送り)")))</f>
        <v>I(コア)</v>
      </c>
      <c r="N14" s="7" t="str">
        <f aca="false">IF(B14="","",IF(OR(M14="I(コア)",M14="II(回転)"),"仕入れ候補",IF(M14="III(厳選)","厳選検討（少数）","見送り")))</f>
        <v>仕入れ候補</v>
      </c>
      <c r="O14" s="18"/>
    </row>
    <row r="15" customFormat="false" ht="15" hidden="false" customHeight="false" outlineLevel="0" collapsed="false">
      <c r="A15" s="16" t="n">
        <f aca="false">IF(B15="","",ROW()-12)</f>
        <v>3</v>
      </c>
      <c r="B15" s="18" t="s">
        <v>108</v>
      </c>
      <c r="C15" s="18" t="s">
        <v>53</v>
      </c>
      <c r="D15" s="19" t="s">
        <v>59</v>
      </c>
      <c r="E15" s="18" t="s">
        <v>67</v>
      </c>
      <c r="F15" s="18" t="s">
        <v>73</v>
      </c>
      <c r="G15" s="20" t="n">
        <v>45000</v>
      </c>
      <c r="H15" s="20" t="n">
        <v>38000</v>
      </c>
      <c r="I15" s="20" t="n">
        <v>52000</v>
      </c>
      <c r="J15" s="21" t="n">
        <v>60</v>
      </c>
      <c r="K15" s="22" t="n">
        <f aca="false">IF(B15="","",I15-H15)</f>
        <v>14000</v>
      </c>
      <c r="L15" s="23" t="n">
        <f aca="false">IF(B15="","",IF(H15=0,"",K15/H15))</f>
        <v>0.368421052631579</v>
      </c>
      <c r="M15" s="7" t="str">
        <f aca="false">IF(B15="","",IF(J15&lt;=設定!$C$6,IF(L15&gt;=設定!$C$7,"I(コア)","II(回転)"),IF(L15&gt;=設定!$C$7,"III(厳選)","IV(見送り)")))</f>
        <v>III(厳選)</v>
      </c>
      <c r="N15" s="7" t="str">
        <f aca="false">IF(B15="","",IF(OR(M15="I(コア)",M15="II(回転)"),"仕入れ候補",IF(M15="III(厳選)","厳選検討（少数）","見送り")))</f>
        <v>厳選検討（少数）</v>
      </c>
      <c r="O15" s="18" t="s">
        <v>109</v>
      </c>
    </row>
    <row r="16" customFormat="false" ht="15" hidden="false" customHeight="false" outlineLevel="0" collapsed="false">
      <c r="A16" s="16" t="n">
        <f aca="false">IF(B16="","",ROW()-12)</f>
        <v>4</v>
      </c>
      <c r="B16" s="18" t="s">
        <v>110</v>
      </c>
      <c r="C16" s="18" t="s">
        <v>51</v>
      </c>
      <c r="D16" s="19" t="s">
        <v>61</v>
      </c>
      <c r="E16" s="18" t="s">
        <v>67</v>
      </c>
      <c r="F16" s="18" t="s">
        <v>72</v>
      </c>
      <c r="G16" s="20" t="n">
        <v>9000</v>
      </c>
      <c r="H16" s="20" t="n">
        <v>7000</v>
      </c>
      <c r="I16" s="20" t="n">
        <v>8500</v>
      </c>
      <c r="J16" s="21" t="n">
        <v>45</v>
      </c>
      <c r="K16" s="22" t="n">
        <f aca="false">IF(B16="","",I16-H16)</f>
        <v>1500</v>
      </c>
      <c r="L16" s="23" t="n">
        <f aca="false">IF(B16="","",IF(H16=0,"",K16/H16))</f>
        <v>0.214285714285714</v>
      </c>
      <c r="M16" s="7" t="str">
        <f aca="false">IF(B16="","",IF(J16&lt;=設定!$C$6,IF(L16&gt;=設定!$C$7,"I(コア)","II(回転)"),IF(L16&gt;=設定!$C$7,"III(厳選)","IV(見送り)")))</f>
        <v>III(厳選)</v>
      </c>
      <c r="N16" s="7" t="str">
        <f aca="false">IF(B16="","",IF(OR(M16="I(コア)",M16="II(回転)"),"仕入れ候補",IF(M16="III(厳選)","厳選検討（少数）","見送り")))</f>
        <v>厳選検討（少数）</v>
      </c>
      <c r="O16" s="18" t="s">
        <v>111</v>
      </c>
    </row>
    <row r="17" customFormat="false" ht="15" hidden="false" customHeight="false" outlineLevel="0" collapsed="false">
      <c r="A17" s="16" t="n">
        <f aca="false">IF(B17="","",ROW()-12)</f>
        <v>5</v>
      </c>
      <c r="B17" s="18" t="s">
        <v>112</v>
      </c>
      <c r="C17" s="18" t="s">
        <v>53</v>
      </c>
      <c r="D17" s="19" t="s">
        <v>61</v>
      </c>
      <c r="E17" s="18" t="s">
        <v>66</v>
      </c>
      <c r="F17" s="18" t="s">
        <v>72</v>
      </c>
      <c r="G17" s="20" t="n">
        <v>12000</v>
      </c>
      <c r="H17" s="20" t="n">
        <v>10000</v>
      </c>
      <c r="I17" s="20" t="n">
        <v>11500</v>
      </c>
      <c r="J17" s="21" t="n">
        <v>10</v>
      </c>
      <c r="K17" s="22" t="n">
        <f aca="false">IF(B17="","",I17-H17)</f>
        <v>1500</v>
      </c>
      <c r="L17" s="23" t="n">
        <f aca="false">IF(B17="","",IF(H17=0,"",K17/H17))</f>
        <v>0.15</v>
      </c>
      <c r="M17" s="7" t="str">
        <f aca="false">IF(B17="","",IF(J17&lt;=設定!$C$6,IF(L17&gt;=設定!$C$7,"I(コア)","II(回転)"),IF(L17&gt;=設定!$C$7,"III(厳選)","IV(見送り)")))</f>
        <v>II(回転)</v>
      </c>
      <c r="N17" s="7" t="str">
        <f aca="false">IF(B17="","",IF(OR(M17="I(コア)",M17="II(回転)"),"仕入れ候補",IF(M17="III(厳選)","厳選検討（少数）","見送り")))</f>
        <v>仕入れ候補</v>
      </c>
      <c r="O17" s="18"/>
    </row>
    <row r="18" customFormat="false" ht="15" hidden="false" customHeight="false" outlineLevel="0" collapsed="false">
      <c r="A18" s="16" t="n">
        <f aca="false">IF(B18="","",ROW()-12)</f>
        <v>6</v>
      </c>
      <c r="B18" s="18" t="s">
        <v>113</v>
      </c>
      <c r="C18" s="18" t="s">
        <v>53</v>
      </c>
      <c r="D18" s="19" t="s">
        <v>63</v>
      </c>
      <c r="E18" s="18" t="s">
        <v>68</v>
      </c>
      <c r="F18" s="18" t="s">
        <v>71</v>
      </c>
      <c r="G18" s="20" t="n">
        <v>3000</v>
      </c>
      <c r="H18" s="20" t="n">
        <v>2800</v>
      </c>
      <c r="I18" s="20" t="n">
        <v>2900</v>
      </c>
      <c r="J18" s="21" t="n">
        <v>90</v>
      </c>
      <c r="K18" s="22" t="n">
        <f aca="false">IF(B18="","",I18-H18)</f>
        <v>100</v>
      </c>
      <c r="L18" s="23" t="n">
        <f aca="false">IF(B18="","",IF(H18=0,"",K18/H18))</f>
        <v>0.0357142857142857</v>
      </c>
      <c r="M18" s="7" t="str">
        <f aca="false">IF(B18="","",IF(J18&lt;=設定!$C$6,IF(L18&gt;=設定!$C$7,"I(コア)","II(回転)"),IF(L18&gt;=設定!$C$7,"III(厳選)","IV(見送り)")))</f>
        <v>IV(見送り)</v>
      </c>
      <c r="N18" s="7" t="str">
        <f aca="false">IF(B18="","",IF(OR(M18="I(コア)",M18="II(回転)"),"仕入れ候補",IF(M18="III(厳選)","厳選検討（少数）","見送り")))</f>
        <v>見送り</v>
      </c>
      <c r="O18" s="18"/>
    </row>
    <row r="19" customFormat="false" ht="15" hidden="false" customHeight="false" outlineLevel="0" collapsed="false">
      <c r="A19" s="16" t="str">
        <f aca="false">IF(B19="","",ROW()-12)</f>
        <v/>
      </c>
      <c r="B19" s="18"/>
      <c r="C19" s="18"/>
      <c r="D19" s="19"/>
      <c r="E19" s="18"/>
      <c r="F19" s="18"/>
      <c r="G19" s="20"/>
      <c r="H19" s="20"/>
      <c r="I19" s="20"/>
      <c r="J19" s="21"/>
      <c r="K19" s="22" t="str">
        <f aca="false">IF(B19="","",I19-H19)</f>
        <v/>
      </c>
      <c r="L19" s="23" t="str">
        <f aca="false">IF(B19="","",IF(H19=0,"",K19/H19))</f>
        <v/>
      </c>
      <c r="M19" s="7" t="str">
        <f aca="false">IF(B19="","",IF(J19&lt;=設定!$C$6,IF(L19&gt;=設定!$C$7,"I(コア)","II(回転)"),IF(L19&gt;=設定!$C$7,"III(厳選)","IV(見送り)")))</f>
        <v/>
      </c>
      <c r="N19" s="7" t="str">
        <f aca="false">IF(B19="","",IF(OR(M19="I(コア)",M19="II(回転)"),"仕入れ候補",IF(M19="III(厳選)","厳選検討（少数）","見送り")))</f>
        <v/>
      </c>
      <c r="O19" s="18"/>
    </row>
    <row r="20" customFormat="false" ht="15" hidden="false" customHeight="false" outlineLevel="0" collapsed="false">
      <c r="A20" s="16" t="str">
        <f aca="false">IF(B20="","",ROW()-12)</f>
        <v/>
      </c>
      <c r="B20" s="18"/>
      <c r="C20" s="18"/>
      <c r="D20" s="19"/>
      <c r="E20" s="18"/>
      <c r="F20" s="18"/>
      <c r="G20" s="20"/>
      <c r="H20" s="20"/>
      <c r="I20" s="20"/>
      <c r="J20" s="21"/>
      <c r="K20" s="22" t="str">
        <f aca="false">IF(B20="","",I20-H20)</f>
        <v/>
      </c>
      <c r="L20" s="23" t="str">
        <f aca="false">IF(B20="","",IF(H20=0,"",K20/H20))</f>
        <v/>
      </c>
      <c r="M20" s="7" t="str">
        <f aca="false">IF(B20="","",IF(J20&lt;=設定!$C$6,IF(L20&gt;=設定!$C$7,"I(コア)","II(回転)"),IF(L20&gt;=設定!$C$7,"III(厳選)","IV(見送り)")))</f>
        <v/>
      </c>
      <c r="N20" s="7" t="str">
        <f aca="false">IF(B20="","",IF(OR(M20="I(コア)",M20="II(回転)"),"仕入れ候補",IF(M20="III(厳選)","厳選検討（少数）","見送り")))</f>
        <v/>
      </c>
      <c r="O20" s="18"/>
    </row>
    <row r="21" customFormat="false" ht="15" hidden="false" customHeight="false" outlineLevel="0" collapsed="false">
      <c r="A21" s="16" t="str">
        <f aca="false">IF(B21="","",ROW()-12)</f>
        <v/>
      </c>
      <c r="B21" s="18"/>
      <c r="C21" s="18"/>
      <c r="D21" s="19"/>
      <c r="E21" s="18"/>
      <c r="F21" s="18"/>
      <c r="G21" s="20"/>
      <c r="H21" s="20"/>
      <c r="I21" s="20"/>
      <c r="J21" s="21"/>
      <c r="K21" s="22" t="str">
        <f aca="false">IF(B21="","",I21-H21)</f>
        <v/>
      </c>
      <c r="L21" s="23" t="str">
        <f aca="false">IF(B21="","",IF(H21=0,"",K21/H21))</f>
        <v/>
      </c>
      <c r="M21" s="7" t="str">
        <f aca="false">IF(B21="","",IF(J21&lt;=設定!$C$6,IF(L21&gt;=設定!$C$7,"I(コア)","II(回転)"),IF(L21&gt;=設定!$C$7,"III(厳選)","IV(見送り)")))</f>
        <v/>
      </c>
      <c r="N21" s="7" t="str">
        <f aca="false">IF(B21="","",IF(OR(M21="I(コア)",M21="II(回転)"),"仕入れ候補",IF(M21="III(厳選)","厳選検討（少数）","見送り")))</f>
        <v/>
      </c>
      <c r="O21" s="18"/>
    </row>
    <row r="22" customFormat="false" ht="15" hidden="false" customHeight="false" outlineLevel="0" collapsed="false">
      <c r="A22" s="16" t="str">
        <f aca="false">IF(B22="","",ROW()-12)</f>
        <v/>
      </c>
      <c r="B22" s="18"/>
      <c r="C22" s="18"/>
      <c r="D22" s="19"/>
      <c r="E22" s="18"/>
      <c r="F22" s="18"/>
      <c r="G22" s="20"/>
      <c r="H22" s="20"/>
      <c r="I22" s="20"/>
      <c r="J22" s="21"/>
      <c r="K22" s="22" t="str">
        <f aca="false">IF(B22="","",I22-H22)</f>
        <v/>
      </c>
      <c r="L22" s="23" t="str">
        <f aca="false">IF(B22="","",IF(H22=0,"",K22/H22))</f>
        <v/>
      </c>
      <c r="M22" s="7" t="str">
        <f aca="false">IF(B22="","",IF(J22&lt;=設定!$C$6,IF(L22&gt;=設定!$C$7,"I(コア)","II(回転)"),IF(L22&gt;=設定!$C$7,"III(厳選)","IV(見送り)")))</f>
        <v/>
      </c>
      <c r="N22" s="7" t="str">
        <f aca="false">IF(B22="","",IF(OR(M22="I(コア)",M22="II(回転)"),"仕入れ候補",IF(M22="III(厳選)","厳選検討（少数）","見送り")))</f>
        <v/>
      </c>
      <c r="O22" s="18"/>
    </row>
    <row r="23" customFormat="false" ht="15" hidden="false" customHeight="false" outlineLevel="0" collapsed="false">
      <c r="A23" s="16" t="str">
        <f aca="false">IF(B23="","",ROW()-12)</f>
        <v/>
      </c>
      <c r="B23" s="18"/>
      <c r="C23" s="18"/>
      <c r="D23" s="19"/>
      <c r="E23" s="18"/>
      <c r="F23" s="18"/>
      <c r="G23" s="20"/>
      <c r="H23" s="20"/>
      <c r="I23" s="20"/>
      <c r="J23" s="21"/>
      <c r="K23" s="22" t="str">
        <f aca="false">IF(B23="","",I23-H23)</f>
        <v/>
      </c>
      <c r="L23" s="23" t="str">
        <f aca="false">IF(B23="","",IF(H23=0,"",K23/H23))</f>
        <v/>
      </c>
      <c r="M23" s="7" t="str">
        <f aca="false">IF(B23="","",IF(J23&lt;=設定!$C$6,IF(L23&gt;=設定!$C$7,"I(コア)","II(回転)"),IF(L23&gt;=設定!$C$7,"III(厳選)","IV(見送り)")))</f>
        <v/>
      </c>
      <c r="N23" s="7" t="str">
        <f aca="false">IF(B23="","",IF(OR(M23="I(コア)",M23="II(回転)"),"仕入れ候補",IF(M23="III(厳選)","厳選検討（少数）","見送り")))</f>
        <v/>
      </c>
      <c r="O23" s="18"/>
    </row>
    <row r="24" customFormat="false" ht="15" hidden="false" customHeight="false" outlineLevel="0" collapsed="false">
      <c r="A24" s="16" t="str">
        <f aca="false">IF(B24="","",ROW()-12)</f>
        <v/>
      </c>
      <c r="B24" s="18"/>
      <c r="C24" s="18"/>
      <c r="D24" s="19"/>
      <c r="E24" s="18"/>
      <c r="F24" s="18"/>
      <c r="G24" s="20"/>
      <c r="H24" s="20"/>
      <c r="I24" s="20"/>
      <c r="J24" s="21"/>
      <c r="K24" s="22" t="str">
        <f aca="false">IF(B24="","",I24-H24)</f>
        <v/>
      </c>
      <c r="L24" s="23" t="str">
        <f aca="false">IF(B24="","",IF(H24=0,"",K24/H24))</f>
        <v/>
      </c>
      <c r="M24" s="7" t="str">
        <f aca="false">IF(B24="","",IF(J24&lt;=設定!$C$6,IF(L24&gt;=設定!$C$7,"I(コア)","II(回転)"),IF(L24&gt;=設定!$C$7,"III(厳選)","IV(見送り)")))</f>
        <v/>
      </c>
      <c r="N24" s="7" t="str">
        <f aca="false">IF(B24="","",IF(OR(M24="I(コア)",M24="II(回転)"),"仕入れ候補",IF(M24="III(厳選)","厳選検討（少数）","見送り")))</f>
        <v/>
      </c>
      <c r="O24" s="18"/>
    </row>
    <row r="25" customFormat="false" ht="15" hidden="false" customHeight="false" outlineLevel="0" collapsed="false">
      <c r="A25" s="16" t="str">
        <f aca="false">IF(B25="","",ROW()-12)</f>
        <v/>
      </c>
      <c r="B25" s="18"/>
      <c r="C25" s="18"/>
      <c r="D25" s="19"/>
      <c r="E25" s="18"/>
      <c r="F25" s="18"/>
      <c r="G25" s="20"/>
      <c r="H25" s="20"/>
      <c r="I25" s="20"/>
      <c r="J25" s="21"/>
      <c r="K25" s="22" t="str">
        <f aca="false">IF(B25="","",I25-H25)</f>
        <v/>
      </c>
      <c r="L25" s="23" t="str">
        <f aca="false">IF(B25="","",IF(H25=0,"",K25/H25))</f>
        <v/>
      </c>
      <c r="M25" s="7" t="str">
        <f aca="false">IF(B25="","",IF(J25&lt;=設定!$C$6,IF(L25&gt;=設定!$C$7,"I(コア)","II(回転)"),IF(L25&gt;=設定!$C$7,"III(厳選)","IV(見送り)")))</f>
        <v/>
      </c>
      <c r="N25" s="7" t="str">
        <f aca="false">IF(B25="","",IF(OR(M25="I(コア)",M25="II(回転)"),"仕入れ候補",IF(M25="III(厳選)","厳選検討（少数）","見送り")))</f>
        <v/>
      </c>
      <c r="O25" s="18"/>
    </row>
    <row r="26" customFormat="false" ht="15" hidden="false" customHeight="false" outlineLevel="0" collapsed="false">
      <c r="A26" s="16" t="str">
        <f aca="false">IF(B26="","",ROW()-12)</f>
        <v/>
      </c>
      <c r="B26" s="18"/>
      <c r="C26" s="18"/>
      <c r="D26" s="19"/>
      <c r="E26" s="18"/>
      <c r="F26" s="18"/>
      <c r="G26" s="20"/>
      <c r="H26" s="20"/>
      <c r="I26" s="20"/>
      <c r="J26" s="21"/>
      <c r="K26" s="22" t="str">
        <f aca="false">IF(B26="","",I26-H26)</f>
        <v/>
      </c>
      <c r="L26" s="23" t="str">
        <f aca="false">IF(B26="","",IF(H26=0,"",K26/H26))</f>
        <v/>
      </c>
      <c r="M26" s="7" t="str">
        <f aca="false">IF(B26="","",IF(J26&lt;=設定!$C$6,IF(L26&gt;=設定!$C$7,"I(コア)","II(回転)"),IF(L26&gt;=設定!$C$7,"III(厳選)","IV(見送り)")))</f>
        <v/>
      </c>
      <c r="N26" s="7" t="str">
        <f aca="false">IF(B26="","",IF(OR(M26="I(コア)",M26="II(回転)"),"仕入れ候補",IF(M26="III(厳選)","厳選検討（少数）","見送り")))</f>
        <v/>
      </c>
      <c r="O26" s="18"/>
    </row>
    <row r="27" customFormat="false" ht="15" hidden="false" customHeight="false" outlineLevel="0" collapsed="false">
      <c r="A27" s="16" t="str">
        <f aca="false">IF(B27="","",ROW()-12)</f>
        <v/>
      </c>
      <c r="B27" s="18"/>
      <c r="C27" s="18"/>
      <c r="D27" s="19"/>
      <c r="E27" s="18"/>
      <c r="F27" s="18"/>
      <c r="G27" s="20"/>
      <c r="H27" s="20"/>
      <c r="I27" s="20"/>
      <c r="J27" s="21"/>
      <c r="K27" s="22" t="str">
        <f aca="false">IF(B27="","",I27-H27)</f>
        <v/>
      </c>
      <c r="L27" s="23" t="str">
        <f aca="false">IF(B27="","",IF(H27=0,"",K27/H27))</f>
        <v/>
      </c>
      <c r="M27" s="7" t="str">
        <f aca="false">IF(B27="","",IF(J27&lt;=設定!$C$6,IF(L27&gt;=設定!$C$7,"I(コア)","II(回転)"),IF(L27&gt;=設定!$C$7,"III(厳選)","IV(見送り)")))</f>
        <v/>
      </c>
      <c r="N27" s="7" t="str">
        <f aca="false">IF(B27="","",IF(OR(M27="I(コア)",M27="II(回転)"),"仕入れ候補",IF(M27="III(厳選)","厳選検討（少数）","見送り")))</f>
        <v/>
      </c>
      <c r="O27" s="18"/>
    </row>
    <row r="28" customFormat="false" ht="15" hidden="false" customHeight="false" outlineLevel="0" collapsed="false">
      <c r="A28" s="16" t="str">
        <f aca="false">IF(B28="","",ROW()-12)</f>
        <v/>
      </c>
      <c r="B28" s="18"/>
      <c r="C28" s="18"/>
      <c r="D28" s="19"/>
      <c r="E28" s="18"/>
      <c r="F28" s="18"/>
      <c r="G28" s="20"/>
      <c r="H28" s="20"/>
      <c r="I28" s="20"/>
      <c r="J28" s="21"/>
      <c r="K28" s="22" t="str">
        <f aca="false">IF(B28="","",I28-H28)</f>
        <v/>
      </c>
      <c r="L28" s="23" t="str">
        <f aca="false">IF(B28="","",IF(H28=0,"",K28/H28))</f>
        <v/>
      </c>
      <c r="M28" s="7" t="str">
        <f aca="false">IF(B28="","",IF(J28&lt;=設定!$C$6,IF(L28&gt;=設定!$C$7,"I(コア)","II(回転)"),IF(L28&gt;=設定!$C$7,"III(厳選)","IV(見送り)")))</f>
        <v/>
      </c>
      <c r="N28" s="7" t="str">
        <f aca="false">IF(B28="","",IF(OR(M28="I(コア)",M28="II(回転)"),"仕入れ候補",IF(M28="III(厳選)","厳選検討（少数）","見送り")))</f>
        <v/>
      </c>
      <c r="O28" s="18"/>
    </row>
    <row r="29" customFormat="false" ht="15" hidden="false" customHeight="false" outlineLevel="0" collapsed="false">
      <c r="A29" s="16" t="str">
        <f aca="false">IF(B29="","",ROW()-12)</f>
        <v/>
      </c>
      <c r="B29" s="18"/>
      <c r="C29" s="18"/>
      <c r="D29" s="19"/>
      <c r="E29" s="18"/>
      <c r="F29" s="18"/>
      <c r="G29" s="20"/>
      <c r="H29" s="20"/>
      <c r="I29" s="20"/>
      <c r="J29" s="21"/>
      <c r="K29" s="22" t="str">
        <f aca="false">IF(B29="","",I29-H29)</f>
        <v/>
      </c>
      <c r="L29" s="23" t="str">
        <f aca="false">IF(B29="","",IF(H29=0,"",K29/H29))</f>
        <v/>
      </c>
      <c r="M29" s="7" t="str">
        <f aca="false">IF(B29="","",IF(J29&lt;=設定!$C$6,IF(L29&gt;=設定!$C$7,"I(コア)","II(回転)"),IF(L29&gt;=設定!$C$7,"III(厳選)","IV(見送り)")))</f>
        <v/>
      </c>
      <c r="N29" s="7" t="str">
        <f aca="false">IF(B29="","",IF(OR(M29="I(コア)",M29="II(回転)"),"仕入れ候補",IF(M29="III(厳選)","厳選検討（少数）","見送り")))</f>
        <v/>
      </c>
      <c r="O29" s="18"/>
    </row>
    <row r="30" customFormat="false" ht="15" hidden="false" customHeight="false" outlineLevel="0" collapsed="false">
      <c r="A30" s="16" t="str">
        <f aca="false">IF(B30="","",ROW()-12)</f>
        <v/>
      </c>
      <c r="B30" s="18"/>
      <c r="C30" s="18"/>
      <c r="D30" s="19"/>
      <c r="E30" s="18"/>
      <c r="F30" s="18"/>
      <c r="G30" s="20"/>
      <c r="H30" s="20"/>
      <c r="I30" s="20"/>
      <c r="J30" s="21"/>
      <c r="K30" s="22" t="str">
        <f aca="false">IF(B30="","",I30-H30)</f>
        <v/>
      </c>
      <c r="L30" s="23" t="str">
        <f aca="false">IF(B30="","",IF(H30=0,"",K30/H30))</f>
        <v/>
      </c>
      <c r="M30" s="7" t="str">
        <f aca="false">IF(B30="","",IF(J30&lt;=設定!$C$6,IF(L30&gt;=設定!$C$7,"I(コア)","II(回転)"),IF(L30&gt;=設定!$C$7,"III(厳選)","IV(見送り)")))</f>
        <v/>
      </c>
      <c r="N30" s="7" t="str">
        <f aca="false">IF(B30="","",IF(OR(M30="I(コア)",M30="II(回転)"),"仕入れ候補",IF(M30="III(厳選)","厳選検討（少数）","見送り")))</f>
        <v/>
      </c>
      <c r="O30" s="18"/>
    </row>
    <row r="31" customFormat="false" ht="15" hidden="false" customHeight="false" outlineLevel="0" collapsed="false">
      <c r="A31" s="16" t="str">
        <f aca="false">IF(B31="","",ROW()-12)</f>
        <v/>
      </c>
      <c r="B31" s="18"/>
      <c r="C31" s="18"/>
      <c r="D31" s="19"/>
      <c r="E31" s="18"/>
      <c r="F31" s="18"/>
      <c r="G31" s="20"/>
      <c r="H31" s="20"/>
      <c r="I31" s="20"/>
      <c r="J31" s="21"/>
      <c r="K31" s="22" t="str">
        <f aca="false">IF(B31="","",I31-H31)</f>
        <v/>
      </c>
      <c r="L31" s="23" t="str">
        <f aca="false">IF(B31="","",IF(H31=0,"",K31/H31))</f>
        <v/>
      </c>
      <c r="M31" s="7" t="str">
        <f aca="false">IF(B31="","",IF(J31&lt;=設定!$C$6,IF(L31&gt;=設定!$C$7,"I(コア)","II(回転)"),IF(L31&gt;=設定!$C$7,"III(厳選)","IV(見送り)")))</f>
        <v/>
      </c>
      <c r="N31" s="7" t="str">
        <f aca="false">IF(B31="","",IF(OR(M31="I(コア)",M31="II(回転)"),"仕入れ候補",IF(M31="III(厳選)","厳選検討（少数）","見送り")))</f>
        <v/>
      </c>
      <c r="O31" s="18"/>
    </row>
    <row r="32" customFormat="false" ht="15" hidden="false" customHeight="false" outlineLevel="0" collapsed="false">
      <c r="A32" s="16" t="str">
        <f aca="false">IF(B32="","",ROW()-12)</f>
        <v/>
      </c>
      <c r="B32" s="18"/>
      <c r="C32" s="18"/>
      <c r="D32" s="19"/>
      <c r="E32" s="18"/>
      <c r="F32" s="18"/>
      <c r="G32" s="20"/>
      <c r="H32" s="20"/>
      <c r="I32" s="20"/>
      <c r="J32" s="21"/>
      <c r="K32" s="22" t="str">
        <f aca="false">IF(B32="","",I32-H32)</f>
        <v/>
      </c>
      <c r="L32" s="23" t="str">
        <f aca="false">IF(B32="","",IF(H32=0,"",K32/H32))</f>
        <v/>
      </c>
      <c r="M32" s="7" t="str">
        <f aca="false">IF(B32="","",IF(J32&lt;=設定!$C$6,IF(L32&gt;=設定!$C$7,"I(コア)","II(回転)"),IF(L32&gt;=設定!$C$7,"III(厳選)","IV(見送り)")))</f>
        <v/>
      </c>
      <c r="N32" s="7" t="str">
        <f aca="false">IF(B32="","",IF(OR(M32="I(コア)",M32="II(回転)"),"仕入れ候補",IF(M32="III(厳選)","厳選検討（少数）","見送り")))</f>
        <v/>
      </c>
      <c r="O32" s="18"/>
    </row>
    <row r="33" customFormat="false" ht="15" hidden="false" customHeight="false" outlineLevel="0" collapsed="false">
      <c r="A33" s="16" t="str">
        <f aca="false">IF(B33="","",ROW()-12)</f>
        <v/>
      </c>
      <c r="B33" s="18"/>
      <c r="C33" s="18"/>
      <c r="D33" s="19"/>
      <c r="E33" s="18"/>
      <c r="F33" s="18"/>
      <c r="G33" s="20"/>
      <c r="H33" s="20"/>
      <c r="I33" s="20"/>
      <c r="J33" s="21"/>
      <c r="K33" s="22" t="str">
        <f aca="false">IF(B33="","",I33-H33)</f>
        <v/>
      </c>
      <c r="L33" s="23" t="str">
        <f aca="false">IF(B33="","",IF(H33=0,"",K33/H33))</f>
        <v/>
      </c>
      <c r="M33" s="7" t="str">
        <f aca="false">IF(B33="","",IF(J33&lt;=設定!$C$6,IF(L33&gt;=設定!$C$7,"I(コア)","II(回転)"),IF(L33&gt;=設定!$C$7,"III(厳選)","IV(見送り)")))</f>
        <v/>
      </c>
      <c r="N33" s="7" t="str">
        <f aca="false">IF(B33="","",IF(OR(M33="I(コア)",M33="II(回転)"),"仕入れ候補",IF(M33="III(厳選)","厳選検討（少数）","見送り")))</f>
        <v/>
      </c>
      <c r="O33" s="18"/>
    </row>
    <row r="34" customFormat="false" ht="15" hidden="false" customHeight="false" outlineLevel="0" collapsed="false">
      <c r="A34" s="16" t="str">
        <f aca="false">IF(B34="","",ROW()-12)</f>
        <v/>
      </c>
      <c r="B34" s="18"/>
      <c r="C34" s="18"/>
      <c r="D34" s="19"/>
      <c r="E34" s="18"/>
      <c r="F34" s="18"/>
      <c r="G34" s="20"/>
      <c r="H34" s="20"/>
      <c r="I34" s="20"/>
      <c r="J34" s="21"/>
      <c r="K34" s="22" t="str">
        <f aca="false">IF(B34="","",I34-H34)</f>
        <v/>
      </c>
      <c r="L34" s="23" t="str">
        <f aca="false">IF(B34="","",IF(H34=0,"",K34/H34))</f>
        <v/>
      </c>
      <c r="M34" s="7" t="str">
        <f aca="false">IF(B34="","",IF(J34&lt;=設定!$C$6,IF(L34&gt;=設定!$C$7,"I(コア)","II(回転)"),IF(L34&gt;=設定!$C$7,"III(厳選)","IV(見送り)")))</f>
        <v/>
      </c>
      <c r="N34" s="7" t="str">
        <f aca="false">IF(B34="","",IF(OR(M34="I(コア)",M34="II(回転)"),"仕入れ候補",IF(M34="III(厳選)","厳選検討（少数）","見送り")))</f>
        <v/>
      </c>
      <c r="O34" s="18"/>
    </row>
    <row r="35" customFormat="false" ht="15" hidden="false" customHeight="false" outlineLevel="0" collapsed="false">
      <c r="A35" s="16" t="str">
        <f aca="false">IF(B35="","",ROW()-12)</f>
        <v/>
      </c>
      <c r="B35" s="18"/>
      <c r="C35" s="18"/>
      <c r="D35" s="19"/>
      <c r="E35" s="18"/>
      <c r="F35" s="18"/>
      <c r="G35" s="20"/>
      <c r="H35" s="20"/>
      <c r="I35" s="20"/>
      <c r="J35" s="21"/>
      <c r="K35" s="22" t="str">
        <f aca="false">IF(B35="","",I35-H35)</f>
        <v/>
      </c>
      <c r="L35" s="23" t="str">
        <f aca="false">IF(B35="","",IF(H35=0,"",K35/H35))</f>
        <v/>
      </c>
      <c r="M35" s="7" t="str">
        <f aca="false">IF(B35="","",IF(J35&lt;=設定!$C$6,IF(L35&gt;=設定!$C$7,"I(コア)","II(回転)"),IF(L35&gt;=設定!$C$7,"III(厳選)","IV(見送り)")))</f>
        <v/>
      </c>
      <c r="N35" s="7" t="str">
        <f aca="false">IF(B35="","",IF(OR(M35="I(コア)",M35="II(回転)"),"仕入れ候補",IF(M35="III(厳選)","厳選検討（少数）","見送り")))</f>
        <v/>
      </c>
      <c r="O35" s="18"/>
    </row>
    <row r="36" customFormat="false" ht="15" hidden="false" customHeight="false" outlineLevel="0" collapsed="false">
      <c r="A36" s="16" t="str">
        <f aca="false">IF(B36="","",ROW()-12)</f>
        <v/>
      </c>
      <c r="B36" s="18"/>
      <c r="C36" s="18"/>
      <c r="D36" s="19"/>
      <c r="E36" s="18"/>
      <c r="F36" s="18"/>
      <c r="G36" s="20"/>
      <c r="H36" s="20"/>
      <c r="I36" s="20"/>
      <c r="J36" s="21"/>
      <c r="K36" s="22" t="str">
        <f aca="false">IF(B36="","",I36-H36)</f>
        <v/>
      </c>
      <c r="L36" s="23" t="str">
        <f aca="false">IF(B36="","",IF(H36=0,"",K36/H36))</f>
        <v/>
      </c>
      <c r="M36" s="7" t="str">
        <f aca="false">IF(B36="","",IF(J36&lt;=設定!$C$6,IF(L36&gt;=設定!$C$7,"I(コア)","II(回転)"),IF(L36&gt;=設定!$C$7,"III(厳選)","IV(見送り)")))</f>
        <v/>
      </c>
      <c r="N36" s="7" t="str">
        <f aca="false">IF(B36="","",IF(OR(M36="I(コア)",M36="II(回転)"),"仕入れ候補",IF(M36="III(厳選)","厳選検討（少数）","見送り")))</f>
        <v/>
      </c>
      <c r="O36" s="18"/>
    </row>
    <row r="37" customFormat="false" ht="15" hidden="false" customHeight="false" outlineLevel="0" collapsed="false">
      <c r="A37" s="16" t="str">
        <f aca="false">IF(B37="","",ROW()-12)</f>
        <v/>
      </c>
      <c r="B37" s="18"/>
      <c r="C37" s="18"/>
      <c r="D37" s="19"/>
      <c r="E37" s="18"/>
      <c r="F37" s="18"/>
      <c r="G37" s="20"/>
      <c r="H37" s="20"/>
      <c r="I37" s="20"/>
      <c r="J37" s="21"/>
      <c r="K37" s="22" t="str">
        <f aca="false">IF(B37="","",I37-H37)</f>
        <v/>
      </c>
      <c r="L37" s="23" t="str">
        <f aca="false">IF(B37="","",IF(H37=0,"",K37/H37))</f>
        <v/>
      </c>
      <c r="M37" s="7" t="str">
        <f aca="false">IF(B37="","",IF(J37&lt;=設定!$C$6,IF(L37&gt;=設定!$C$7,"I(コア)","II(回転)"),IF(L37&gt;=設定!$C$7,"III(厳選)","IV(見送り)")))</f>
        <v/>
      </c>
      <c r="N37" s="7" t="str">
        <f aca="false">IF(B37="","",IF(OR(M37="I(コア)",M37="II(回転)"),"仕入れ候補",IF(M37="III(厳選)","厳選検討（少数）","見送り")))</f>
        <v/>
      </c>
      <c r="O37" s="18"/>
    </row>
    <row r="38" customFormat="false" ht="15" hidden="false" customHeight="false" outlineLevel="0" collapsed="false">
      <c r="A38" s="16" t="str">
        <f aca="false">IF(B38="","",ROW()-12)</f>
        <v/>
      </c>
      <c r="B38" s="18"/>
      <c r="C38" s="18"/>
      <c r="D38" s="19"/>
      <c r="E38" s="18"/>
      <c r="F38" s="18"/>
      <c r="G38" s="20"/>
      <c r="H38" s="20"/>
      <c r="I38" s="20"/>
      <c r="J38" s="21"/>
      <c r="K38" s="22" t="str">
        <f aca="false">IF(B38="","",I38-H38)</f>
        <v/>
      </c>
      <c r="L38" s="23" t="str">
        <f aca="false">IF(B38="","",IF(H38=0,"",K38/H38))</f>
        <v/>
      </c>
      <c r="M38" s="7" t="str">
        <f aca="false">IF(B38="","",IF(J38&lt;=設定!$C$6,IF(L38&gt;=設定!$C$7,"I(コア)","II(回転)"),IF(L38&gt;=設定!$C$7,"III(厳選)","IV(見送り)")))</f>
        <v/>
      </c>
      <c r="N38" s="7" t="str">
        <f aca="false">IF(B38="","",IF(OR(M38="I(コア)",M38="II(回転)"),"仕入れ候補",IF(M38="III(厳選)","厳選検討（少数）","見送り")))</f>
        <v/>
      </c>
      <c r="O38" s="18"/>
    </row>
    <row r="39" customFormat="false" ht="15" hidden="false" customHeight="false" outlineLevel="0" collapsed="false">
      <c r="A39" s="16" t="str">
        <f aca="false">IF(B39="","",ROW()-12)</f>
        <v/>
      </c>
      <c r="B39" s="18"/>
      <c r="C39" s="18"/>
      <c r="D39" s="19"/>
      <c r="E39" s="18"/>
      <c r="F39" s="18"/>
      <c r="G39" s="20"/>
      <c r="H39" s="20"/>
      <c r="I39" s="20"/>
      <c r="J39" s="21"/>
      <c r="K39" s="22" t="str">
        <f aca="false">IF(B39="","",I39-H39)</f>
        <v/>
      </c>
      <c r="L39" s="23" t="str">
        <f aca="false">IF(B39="","",IF(H39=0,"",K39/H39))</f>
        <v/>
      </c>
      <c r="M39" s="7" t="str">
        <f aca="false">IF(B39="","",IF(J39&lt;=設定!$C$6,IF(L39&gt;=設定!$C$7,"I(コア)","II(回転)"),IF(L39&gt;=設定!$C$7,"III(厳選)","IV(見送り)")))</f>
        <v/>
      </c>
      <c r="N39" s="7" t="str">
        <f aca="false">IF(B39="","",IF(OR(M39="I(コア)",M39="II(回転)"),"仕入れ候補",IF(M39="III(厳選)","厳選検討（少数）","見送り")))</f>
        <v/>
      </c>
      <c r="O39" s="18"/>
    </row>
    <row r="40" customFormat="false" ht="15" hidden="false" customHeight="false" outlineLevel="0" collapsed="false">
      <c r="A40" s="16" t="str">
        <f aca="false">IF(B40="","",ROW()-12)</f>
        <v/>
      </c>
      <c r="B40" s="18"/>
      <c r="C40" s="18"/>
      <c r="D40" s="19"/>
      <c r="E40" s="18"/>
      <c r="F40" s="18"/>
      <c r="G40" s="20"/>
      <c r="H40" s="20"/>
      <c r="I40" s="20"/>
      <c r="J40" s="21"/>
      <c r="K40" s="22" t="str">
        <f aca="false">IF(B40="","",I40-H40)</f>
        <v/>
      </c>
      <c r="L40" s="23" t="str">
        <f aca="false">IF(B40="","",IF(H40=0,"",K40/H40))</f>
        <v/>
      </c>
      <c r="M40" s="7" t="str">
        <f aca="false">IF(B40="","",IF(J40&lt;=設定!$C$6,IF(L40&gt;=設定!$C$7,"I(コア)","II(回転)"),IF(L40&gt;=設定!$C$7,"III(厳選)","IV(見送り)")))</f>
        <v/>
      </c>
      <c r="N40" s="7" t="str">
        <f aca="false">IF(B40="","",IF(OR(M40="I(コア)",M40="II(回転)"),"仕入れ候補",IF(M40="III(厳選)","厳選検討（少数）","見送り")))</f>
        <v/>
      </c>
      <c r="O40" s="18"/>
    </row>
    <row r="41" customFormat="false" ht="15" hidden="false" customHeight="false" outlineLevel="0" collapsed="false">
      <c r="A41" s="16" t="str">
        <f aca="false">IF(B41="","",ROW()-12)</f>
        <v/>
      </c>
      <c r="B41" s="18"/>
      <c r="C41" s="18"/>
      <c r="D41" s="19"/>
      <c r="E41" s="18"/>
      <c r="F41" s="18"/>
      <c r="G41" s="20"/>
      <c r="H41" s="20"/>
      <c r="I41" s="20"/>
      <c r="J41" s="21"/>
      <c r="K41" s="22" t="str">
        <f aca="false">IF(B41="","",I41-H41)</f>
        <v/>
      </c>
      <c r="L41" s="23" t="str">
        <f aca="false">IF(B41="","",IF(H41=0,"",K41/H41))</f>
        <v/>
      </c>
      <c r="M41" s="7" t="str">
        <f aca="false">IF(B41="","",IF(J41&lt;=設定!$C$6,IF(L41&gt;=設定!$C$7,"I(コア)","II(回転)"),IF(L41&gt;=設定!$C$7,"III(厳選)","IV(見送り)")))</f>
        <v/>
      </c>
      <c r="N41" s="7" t="str">
        <f aca="false">IF(B41="","",IF(OR(M41="I(コア)",M41="II(回転)"),"仕入れ候補",IF(M41="III(厳選)","厳選検討（少数）","見送り")))</f>
        <v/>
      </c>
      <c r="O41" s="18"/>
    </row>
    <row r="42" customFormat="false" ht="15" hidden="false" customHeight="false" outlineLevel="0" collapsed="false">
      <c r="A42" s="16" t="str">
        <f aca="false">IF(B42="","",ROW()-12)</f>
        <v/>
      </c>
      <c r="B42" s="18"/>
      <c r="C42" s="18"/>
      <c r="D42" s="19"/>
      <c r="E42" s="18"/>
      <c r="F42" s="18"/>
      <c r="G42" s="20"/>
      <c r="H42" s="20"/>
      <c r="I42" s="20"/>
      <c r="J42" s="21"/>
      <c r="K42" s="22" t="str">
        <f aca="false">IF(B42="","",I42-H42)</f>
        <v/>
      </c>
      <c r="L42" s="23" t="str">
        <f aca="false">IF(B42="","",IF(H42=0,"",K42/H42))</f>
        <v/>
      </c>
      <c r="M42" s="7" t="str">
        <f aca="false">IF(B42="","",IF(J42&lt;=設定!$C$6,IF(L42&gt;=設定!$C$7,"I(コア)","II(回転)"),IF(L42&gt;=設定!$C$7,"III(厳選)","IV(見送り)")))</f>
        <v/>
      </c>
      <c r="N42" s="7" t="str">
        <f aca="false">IF(B42="","",IF(OR(M42="I(コア)",M42="II(回転)"),"仕入れ候補",IF(M42="III(厳選)","厳選検討（少数）","見送り")))</f>
        <v/>
      </c>
      <c r="O42" s="18"/>
    </row>
    <row r="43" customFormat="false" ht="15" hidden="false" customHeight="false" outlineLevel="0" collapsed="false">
      <c r="A43" s="16" t="str">
        <f aca="false">IF(B43="","",ROW()-12)</f>
        <v/>
      </c>
      <c r="B43" s="18"/>
      <c r="C43" s="18"/>
      <c r="D43" s="19"/>
      <c r="E43" s="18"/>
      <c r="F43" s="18"/>
      <c r="G43" s="20"/>
      <c r="H43" s="20"/>
      <c r="I43" s="20"/>
      <c r="J43" s="21"/>
      <c r="K43" s="22" t="str">
        <f aca="false">IF(B43="","",I43-H43)</f>
        <v/>
      </c>
      <c r="L43" s="23" t="str">
        <f aca="false">IF(B43="","",IF(H43=0,"",K43/H43))</f>
        <v/>
      </c>
      <c r="M43" s="7" t="str">
        <f aca="false">IF(B43="","",IF(J43&lt;=設定!$C$6,IF(L43&gt;=設定!$C$7,"I(コア)","II(回転)"),IF(L43&gt;=設定!$C$7,"III(厳選)","IV(見送り)")))</f>
        <v/>
      </c>
      <c r="N43" s="7" t="str">
        <f aca="false">IF(B43="","",IF(OR(M43="I(コア)",M43="II(回転)"),"仕入れ候補",IF(M43="III(厳選)","厳選検討（少数）","見送り")))</f>
        <v/>
      </c>
      <c r="O43" s="18"/>
    </row>
    <row r="44" customFormat="false" ht="15" hidden="false" customHeight="false" outlineLevel="0" collapsed="false">
      <c r="A44" s="16" t="str">
        <f aca="false">IF(B44="","",ROW()-12)</f>
        <v/>
      </c>
      <c r="B44" s="18"/>
      <c r="C44" s="18"/>
      <c r="D44" s="19"/>
      <c r="E44" s="18"/>
      <c r="F44" s="18"/>
      <c r="G44" s="20"/>
      <c r="H44" s="20"/>
      <c r="I44" s="20"/>
      <c r="J44" s="21"/>
      <c r="K44" s="22" t="str">
        <f aca="false">IF(B44="","",I44-H44)</f>
        <v/>
      </c>
      <c r="L44" s="23" t="str">
        <f aca="false">IF(B44="","",IF(H44=0,"",K44/H44))</f>
        <v/>
      </c>
      <c r="M44" s="7" t="str">
        <f aca="false">IF(B44="","",IF(J44&lt;=設定!$C$6,IF(L44&gt;=設定!$C$7,"I(コア)","II(回転)"),IF(L44&gt;=設定!$C$7,"III(厳選)","IV(見送り)")))</f>
        <v/>
      </c>
      <c r="N44" s="7" t="str">
        <f aca="false">IF(B44="","",IF(OR(M44="I(コア)",M44="II(回転)"),"仕入れ候補",IF(M44="III(厳選)","厳選検討（少数）","見送り")))</f>
        <v/>
      </c>
      <c r="O44" s="18"/>
    </row>
    <row r="45" customFormat="false" ht="15" hidden="false" customHeight="false" outlineLevel="0" collapsed="false">
      <c r="A45" s="16" t="str">
        <f aca="false">IF(B45="","",ROW()-12)</f>
        <v/>
      </c>
      <c r="B45" s="18"/>
      <c r="C45" s="18"/>
      <c r="D45" s="19"/>
      <c r="E45" s="18"/>
      <c r="F45" s="18"/>
      <c r="G45" s="20"/>
      <c r="H45" s="20"/>
      <c r="I45" s="20"/>
      <c r="J45" s="21"/>
      <c r="K45" s="22" t="str">
        <f aca="false">IF(B45="","",I45-H45)</f>
        <v/>
      </c>
      <c r="L45" s="23" t="str">
        <f aca="false">IF(B45="","",IF(H45=0,"",K45/H45))</f>
        <v/>
      </c>
      <c r="M45" s="7" t="str">
        <f aca="false">IF(B45="","",IF(J45&lt;=設定!$C$6,IF(L45&gt;=設定!$C$7,"I(コア)","II(回転)"),IF(L45&gt;=設定!$C$7,"III(厳選)","IV(見送り)")))</f>
        <v/>
      </c>
      <c r="N45" s="7" t="str">
        <f aca="false">IF(B45="","",IF(OR(M45="I(コア)",M45="II(回転)"),"仕入れ候補",IF(M45="III(厳選)","厳選検討（少数）","見送り")))</f>
        <v/>
      </c>
      <c r="O45" s="18"/>
    </row>
    <row r="46" customFormat="false" ht="15" hidden="false" customHeight="false" outlineLevel="0" collapsed="false">
      <c r="A46" s="16" t="str">
        <f aca="false">IF(B46="","",ROW()-12)</f>
        <v/>
      </c>
      <c r="B46" s="18"/>
      <c r="C46" s="18"/>
      <c r="D46" s="19"/>
      <c r="E46" s="18"/>
      <c r="F46" s="18"/>
      <c r="G46" s="20"/>
      <c r="H46" s="20"/>
      <c r="I46" s="20"/>
      <c r="J46" s="21"/>
      <c r="K46" s="22" t="str">
        <f aca="false">IF(B46="","",I46-H46)</f>
        <v/>
      </c>
      <c r="L46" s="23" t="str">
        <f aca="false">IF(B46="","",IF(H46=0,"",K46/H46))</f>
        <v/>
      </c>
      <c r="M46" s="7" t="str">
        <f aca="false">IF(B46="","",IF(J46&lt;=設定!$C$6,IF(L46&gt;=設定!$C$7,"I(コア)","II(回転)"),IF(L46&gt;=設定!$C$7,"III(厳選)","IV(見送り)")))</f>
        <v/>
      </c>
      <c r="N46" s="7" t="str">
        <f aca="false">IF(B46="","",IF(OR(M46="I(コア)",M46="II(回転)"),"仕入れ候補",IF(M46="III(厳選)","厳選検討（少数）","見送り")))</f>
        <v/>
      </c>
      <c r="O46" s="18"/>
    </row>
    <row r="47" customFormat="false" ht="15" hidden="false" customHeight="false" outlineLevel="0" collapsed="false">
      <c r="A47" s="16" t="str">
        <f aca="false">IF(B47="","",ROW()-12)</f>
        <v/>
      </c>
      <c r="B47" s="18"/>
      <c r="C47" s="18"/>
      <c r="D47" s="19"/>
      <c r="E47" s="18"/>
      <c r="F47" s="18"/>
      <c r="G47" s="20"/>
      <c r="H47" s="20"/>
      <c r="I47" s="20"/>
      <c r="J47" s="21"/>
      <c r="K47" s="22" t="str">
        <f aca="false">IF(B47="","",I47-H47)</f>
        <v/>
      </c>
      <c r="L47" s="23" t="str">
        <f aca="false">IF(B47="","",IF(H47=0,"",K47/H47))</f>
        <v/>
      </c>
      <c r="M47" s="7" t="str">
        <f aca="false">IF(B47="","",IF(J47&lt;=設定!$C$6,IF(L47&gt;=設定!$C$7,"I(コア)","II(回転)"),IF(L47&gt;=設定!$C$7,"III(厳選)","IV(見送り)")))</f>
        <v/>
      </c>
      <c r="N47" s="7" t="str">
        <f aca="false">IF(B47="","",IF(OR(M47="I(コア)",M47="II(回転)"),"仕入れ候補",IF(M47="III(厳選)","厳選検討（少数）","見送り")))</f>
        <v/>
      </c>
      <c r="O47" s="18"/>
    </row>
    <row r="48" customFormat="false" ht="15" hidden="false" customHeight="false" outlineLevel="0" collapsed="false">
      <c r="A48" s="16" t="str">
        <f aca="false">IF(B48="","",ROW()-12)</f>
        <v/>
      </c>
      <c r="B48" s="18"/>
      <c r="C48" s="18"/>
      <c r="D48" s="19"/>
      <c r="E48" s="18"/>
      <c r="F48" s="18"/>
      <c r="G48" s="20"/>
      <c r="H48" s="20"/>
      <c r="I48" s="20"/>
      <c r="J48" s="21"/>
      <c r="K48" s="22" t="str">
        <f aca="false">IF(B48="","",I48-H48)</f>
        <v/>
      </c>
      <c r="L48" s="23" t="str">
        <f aca="false">IF(B48="","",IF(H48=0,"",K48/H48))</f>
        <v/>
      </c>
      <c r="M48" s="7" t="str">
        <f aca="false">IF(B48="","",IF(J48&lt;=設定!$C$6,IF(L48&gt;=設定!$C$7,"I(コア)","II(回転)"),IF(L48&gt;=設定!$C$7,"III(厳選)","IV(見送り)")))</f>
        <v/>
      </c>
      <c r="N48" s="7" t="str">
        <f aca="false">IF(B48="","",IF(OR(M48="I(コア)",M48="II(回転)"),"仕入れ候補",IF(M48="III(厳選)","厳選検討（少数）","見送り")))</f>
        <v/>
      </c>
      <c r="O48" s="18"/>
    </row>
    <row r="49" customFormat="false" ht="15" hidden="false" customHeight="false" outlineLevel="0" collapsed="false">
      <c r="A49" s="16" t="str">
        <f aca="false">IF(B49="","",ROW()-12)</f>
        <v/>
      </c>
      <c r="B49" s="18"/>
      <c r="C49" s="18"/>
      <c r="D49" s="19"/>
      <c r="E49" s="18"/>
      <c r="F49" s="18"/>
      <c r="G49" s="20"/>
      <c r="H49" s="20"/>
      <c r="I49" s="20"/>
      <c r="J49" s="21"/>
      <c r="K49" s="22" t="str">
        <f aca="false">IF(B49="","",I49-H49)</f>
        <v/>
      </c>
      <c r="L49" s="23" t="str">
        <f aca="false">IF(B49="","",IF(H49=0,"",K49/H49))</f>
        <v/>
      </c>
      <c r="M49" s="7" t="str">
        <f aca="false">IF(B49="","",IF(J49&lt;=設定!$C$6,IF(L49&gt;=設定!$C$7,"I(コア)","II(回転)"),IF(L49&gt;=設定!$C$7,"III(厳選)","IV(見送り)")))</f>
        <v/>
      </c>
      <c r="N49" s="7" t="str">
        <f aca="false">IF(B49="","",IF(OR(M49="I(コア)",M49="II(回転)"),"仕入れ候補",IF(M49="III(厳選)","厳選検討（少数）","見送り")))</f>
        <v/>
      </c>
      <c r="O49" s="18"/>
    </row>
    <row r="50" customFormat="false" ht="15" hidden="false" customHeight="false" outlineLevel="0" collapsed="false">
      <c r="A50" s="16" t="str">
        <f aca="false">IF(B50="","",ROW()-12)</f>
        <v/>
      </c>
      <c r="B50" s="18"/>
      <c r="C50" s="18"/>
      <c r="D50" s="19"/>
      <c r="E50" s="18"/>
      <c r="F50" s="18"/>
      <c r="G50" s="20"/>
      <c r="H50" s="20"/>
      <c r="I50" s="20"/>
      <c r="J50" s="21"/>
      <c r="K50" s="22" t="str">
        <f aca="false">IF(B50="","",I50-H50)</f>
        <v/>
      </c>
      <c r="L50" s="23" t="str">
        <f aca="false">IF(B50="","",IF(H50=0,"",K50/H50))</f>
        <v/>
      </c>
      <c r="M50" s="7" t="str">
        <f aca="false">IF(B50="","",IF(J50&lt;=設定!$C$6,IF(L50&gt;=設定!$C$7,"I(コア)","II(回転)"),IF(L50&gt;=設定!$C$7,"III(厳選)","IV(見送り)")))</f>
        <v/>
      </c>
      <c r="N50" s="7" t="str">
        <f aca="false">IF(B50="","",IF(OR(M50="I(コア)",M50="II(回転)"),"仕入れ候補",IF(M50="III(厳選)","厳選検討（少数）","見送り")))</f>
        <v/>
      </c>
      <c r="O50" s="18"/>
    </row>
    <row r="51" customFormat="false" ht="15" hidden="false" customHeight="false" outlineLevel="0" collapsed="false">
      <c r="A51" s="16" t="str">
        <f aca="false">IF(B51="","",ROW()-12)</f>
        <v/>
      </c>
      <c r="B51" s="18"/>
      <c r="C51" s="18"/>
      <c r="D51" s="19"/>
      <c r="E51" s="18"/>
      <c r="F51" s="18"/>
      <c r="G51" s="20"/>
      <c r="H51" s="20"/>
      <c r="I51" s="20"/>
      <c r="J51" s="21"/>
      <c r="K51" s="22" t="str">
        <f aca="false">IF(B51="","",I51-H51)</f>
        <v/>
      </c>
      <c r="L51" s="23" t="str">
        <f aca="false">IF(B51="","",IF(H51=0,"",K51/H51))</f>
        <v/>
      </c>
      <c r="M51" s="7" t="str">
        <f aca="false">IF(B51="","",IF(J51&lt;=設定!$C$6,IF(L51&gt;=設定!$C$7,"I(コア)","II(回転)"),IF(L51&gt;=設定!$C$7,"III(厳選)","IV(見送り)")))</f>
        <v/>
      </c>
      <c r="N51" s="7" t="str">
        <f aca="false">IF(B51="","",IF(OR(M51="I(コア)",M51="II(回転)"),"仕入れ候補",IF(M51="III(厳選)","厳選検討（少数）","見送り")))</f>
        <v/>
      </c>
      <c r="O51" s="18"/>
    </row>
    <row r="52" customFormat="false" ht="15" hidden="false" customHeight="false" outlineLevel="0" collapsed="false">
      <c r="A52" s="16" t="str">
        <f aca="false">IF(B52="","",ROW()-12)</f>
        <v/>
      </c>
      <c r="B52" s="18"/>
      <c r="C52" s="18"/>
      <c r="D52" s="19"/>
      <c r="E52" s="18"/>
      <c r="F52" s="18"/>
      <c r="G52" s="20"/>
      <c r="H52" s="20"/>
      <c r="I52" s="20"/>
      <c r="J52" s="21"/>
      <c r="K52" s="22" t="str">
        <f aca="false">IF(B52="","",I52-H52)</f>
        <v/>
      </c>
      <c r="L52" s="23" t="str">
        <f aca="false">IF(B52="","",IF(H52=0,"",K52/H52))</f>
        <v/>
      </c>
      <c r="M52" s="7" t="str">
        <f aca="false">IF(B52="","",IF(J52&lt;=設定!$C$6,IF(L52&gt;=設定!$C$7,"I(コア)","II(回転)"),IF(L52&gt;=設定!$C$7,"III(厳選)","IV(見送り)")))</f>
        <v/>
      </c>
      <c r="N52" s="7" t="str">
        <f aca="false">IF(B52="","",IF(OR(M52="I(コア)",M52="II(回転)"),"仕入れ候補",IF(M52="III(厳選)","厳選検討（少数）","見送り")))</f>
        <v/>
      </c>
      <c r="O52" s="18"/>
    </row>
    <row r="53" customFormat="false" ht="15" hidden="false" customHeight="false" outlineLevel="0" collapsed="false">
      <c r="A53" s="16" t="str">
        <f aca="false">IF(B53="","",ROW()-12)</f>
        <v/>
      </c>
      <c r="B53" s="18"/>
      <c r="C53" s="18"/>
      <c r="D53" s="19"/>
      <c r="E53" s="18"/>
      <c r="F53" s="18"/>
      <c r="G53" s="20"/>
      <c r="H53" s="20"/>
      <c r="I53" s="20"/>
      <c r="J53" s="21"/>
      <c r="K53" s="22" t="str">
        <f aca="false">IF(B53="","",I53-H53)</f>
        <v/>
      </c>
      <c r="L53" s="23" t="str">
        <f aca="false">IF(B53="","",IF(H53=0,"",K53/H53))</f>
        <v/>
      </c>
      <c r="M53" s="7" t="str">
        <f aca="false">IF(B53="","",IF(J53&lt;=設定!$C$6,IF(L53&gt;=設定!$C$7,"I(コア)","II(回転)"),IF(L53&gt;=設定!$C$7,"III(厳選)","IV(見送り)")))</f>
        <v/>
      </c>
      <c r="N53" s="7" t="str">
        <f aca="false">IF(B53="","",IF(OR(M53="I(コア)",M53="II(回転)"),"仕入れ候補",IF(M53="III(厳選)","厳選検討（少数）","見送り")))</f>
        <v/>
      </c>
      <c r="O53" s="18"/>
    </row>
    <row r="54" customFormat="false" ht="15" hidden="false" customHeight="false" outlineLevel="0" collapsed="false">
      <c r="A54" s="16" t="str">
        <f aca="false">IF(B54="","",ROW()-12)</f>
        <v/>
      </c>
      <c r="B54" s="18"/>
      <c r="C54" s="18"/>
      <c r="D54" s="19"/>
      <c r="E54" s="18"/>
      <c r="F54" s="18"/>
      <c r="G54" s="20"/>
      <c r="H54" s="20"/>
      <c r="I54" s="20"/>
      <c r="J54" s="21"/>
      <c r="K54" s="22" t="str">
        <f aca="false">IF(B54="","",I54-H54)</f>
        <v/>
      </c>
      <c r="L54" s="23" t="str">
        <f aca="false">IF(B54="","",IF(H54=0,"",K54/H54))</f>
        <v/>
      </c>
      <c r="M54" s="7" t="str">
        <f aca="false">IF(B54="","",IF(J54&lt;=設定!$C$6,IF(L54&gt;=設定!$C$7,"I(コア)","II(回転)"),IF(L54&gt;=設定!$C$7,"III(厳選)","IV(見送り)")))</f>
        <v/>
      </c>
      <c r="N54" s="7" t="str">
        <f aca="false">IF(B54="","",IF(OR(M54="I(コア)",M54="II(回転)"),"仕入れ候補",IF(M54="III(厳選)","厳選検討（少数）","見送り")))</f>
        <v/>
      </c>
      <c r="O54" s="18"/>
    </row>
    <row r="55" customFormat="false" ht="15" hidden="false" customHeight="false" outlineLevel="0" collapsed="false">
      <c r="A55" s="16" t="str">
        <f aca="false">IF(B55="","",ROW()-12)</f>
        <v/>
      </c>
      <c r="B55" s="18"/>
      <c r="C55" s="18"/>
      <c r="D55" s="19"/>
      <c r="E55" s="18"/>
      <c r="F55" s="18"/>
      <c r="G55" s="20"/>
      <c r="H55" s="20"/>
      <c r="I55" s="20"/>
      <c r="J55" s="21"/>
      <c r="K55" s="22" t="str">
        <f aca="false">IF(B55="","",I55-H55)</f>
        <v/>
      </c>
      <c r="L55" s="23" t="str">
        <f aca="false">IF(B55="","",IF(H55=0,"",K55/H55))</f>
        <v/>
      </c>
      <c r="M55" s="7" t="str">
        <f aca="false">IF(B55="","",IF(J55&lt;=設定!$C$6,IF(L55&gt;=設定!$C$7,"I(コア)","II(回転)"),IF(L55&gt;=設定!$C$7,"III(厳選)","IV(見送り)")))</f>
        <v/>
      </c>
      <c r="N55" s="7" t="str">
        <f aca="false">IF(B55="","",IF(OR(M55="I(コア)",M55="II(回転)"),"仕入れ候補",IF(M55="III(厳選)","厳選検討（少数）","見送り")))</f>
        <v/>
      </c>
      <c r="O55" s="18"/>
    </row>
    <row r="56" customFormat="false" ht="15" hidden="false" customHeight="false" outlineLevel="0" collapsed="false">
      <c r="A56" s="16" t="str">
        <f aca="false">IF(B56="","",ROW()-12)</f>
        <v/>
      </c>
      <c r="B56" s="18"/>
      <c r="C56" s="18"/>
      <c r="D56" s="19"/>
      <c r="E56" s="18"/>
      <c r="F56" s="18"/>
      <c r="G56" s="20"/>
      <c r="H56" s="20"/>
      <c r="I56" s="20"/>
      <c r="J56" s="21"/>
      <c r="K56" s="22" t="str">
        <f aca="false">IF(B56="","",I56-H56)</f>
        <v/>
      </c>
      <c r="L56" s="23" t="str">
        <f aca="false">IF(B56="","",IF(H56=0,"",K56/H56))</f>
        <v/>
      </c>
      <c r="M56" s="7" t="str">
        <f aca="false">IF(B56="","",IF(J56&lt;=設定!$C$6,IF(L56&gt;=設定!$C$7,"I(コア)","II(回転)"),IF(L56&gt;=設定!$C$7,"III(厳選)","IV(見送り)")))</f>
        <v/>
      </c>
      <c r="N56" s="7" t="str">
        <f aca="false">IF(B56="","",IF(OR(M56="I(コア)",M56="II(回転)"),"仕入れ候補",IF(M56="III(厳選)","厳選検討（少数）","見送り")))</f>
        <v/>
      </c>
      <c r="O56" s="18"/>
    </row>
    <row r="57" customFormat="false" ht="15" hidden="false" customHeight="false" outlineLevel="0" collapsed="false">
      <c r="A57" s="16" t="str">
        <f aca="false">IF(B57="","",ROW()-12)</f>
        <v/>
      </c>
      <c r="B57" s="18"/>
      <c r="C57" s="18"/>
      <c r="D57" s="19"/>
      <c r="E57" s="18"/>
      <c r="F57" s="18"/>
      <c r="G57" s="20"/>
      <c r="H57" s="20"/>
      <c r="I57" s="20"/>
      <c r="J57" s="21"/>
      <c r="K57" s="22" t="str">
        <f aca="false">IF(B57="","",I57-H57)</f>
        <v/>
      </c>
      <c r="L57" s="23" t="str">
        <f aca="false">IF(B57="","",IF(H57=0,"",K57/H57))</f>
        <v/>
      </c>
      <c r="M57" s="7" t="str">
        <f aca="false">IF(B57="","",IF(J57&lt;=設定!$C$6,IF(L57&gt;=設定!$C$7,"I(コア)","II(回転)"),IF(L57&gt;=設定!$C$7,"III(厳選)","IV(見送り)")))</f>
        <v/>
      </c>
      <c r="N57" s="7" t="str">
        <f aca="false">IF(B57="","",IF(OR(M57="I(コア)",M57="II(回転)"),"仕入れ候補",IF(M57="III(厳選)","厳選検討（少数）","見送り")))</f>
        <v/>
      </c>
      <c r="O57" s="18"/>
    </row>
    <row r="58" customFormat="false" ht="15" hidden="false" customHeight="false" outlineLevel="0" collapsed="false">
      <c r="A58" s="16" t="str">
        <f aca="false">IF(B58="","",ROW()-12)</f>
        <v/>
      </c>
      <c r="B58" s="18"/>
      <c r="C58" s="18"/>
      <c r="D58" s="19"/>
      <c r="E58" s="18"/>
      <c r="F58" s="18"/>
      <c r="G58" s="20"/>
      <c r="H58" s="20"/>
      <c r="I58" s="20"/>
      <c r="J58" s="21"/>
      <c r="K58" s="22" t="str">
        <f aca="false">IF(B58="","",I58-H58)</f>
        <v/>
      </c>
      <c r="L58" s="23" t="str">
        <f aca="false">IF(B58="","",IF(H58=0,"",K58/H58))</f>
        <v/>
      </c>
      <c r="M58" s="7" t="str">
        <f aca="false">IF(B58="","",IF(J58&lt;=設定!$C$6,IF(L58&gt;=設定!$C$7,"I(コア)","II(回転)"),IF(L58&gt;=設定!$C$7,"III(厳選)","IV(見送り)")))</f>
        <v/>
      </c>
      <c r="N58" s="7" t="str">
        <f aca="false">IF(B58="","",IF(OR(M58="I(コア)",M58="II(回転)"),"仕入れ候補",IF(M58="III(厳選)","厳選検討（少数）","見送り")))</f>
        <v/>
      </c>
      <c r="O58" s="18"/>
    </row>
    <row r="59" customFormat="false" ht="15" hidden="false" customHeight="false" outlineLevel="0" collapsed="false">
      <c r="A59" s="16" t="str">
        <f aca="false">IF(B59="","",ROW()-12)</f>
        <v/>
      </c>
      <c r="B59" s="18"/>
      <c r="C59" s="18"/>
      <c r="D59" s="19"/>
      <c r="E59" s="18"/>
      <c r="F59" s="18"/>
      <c r="G59" s="20"/>
      <c r="H59" s="20"/>
      <c r="I59" s="20"/>
      <c r="J59" s="21"/>
      <c r="K59" s="22" t="str">
        <f aca="false">IF(B59="","",I59-H59)</f>
        <v/>
      </c>
      <c r="L59" s="23" t="str">
        <f aca="false">IF(B59="","",IF(H59=0,"",K59/H59))</f>
        <v/>
      </c>
      <c r="M59" s="7" t="str">
        <f aca="false">IF(B59="","",IF(J59&lt;=設定!$C$6,IF(L59&gt;=設定!$C$7,"I(コア)","II(回転)"),IF(L59&gt;=設定!$C$7,"III(厳選)","IV(見送り)")))</f>
        <v/>
      </c>
      <c r="N59" s="7" t="str">
        <f aca="false">IF(B59="","",IF(OR(M59="I(コア)",M59="II(回転)"),"仕入れ候補",IF(M59="III(厳選)","厳選検討（少数）","見送り")))</f>
        <v/>
      </c>
      <c r="O59" s="18"/>
    </row>
    <row r="60" customFormat="false" ht="15" hidden="false" customHeight="false" outlineLevel="0" collapsed="false">
      <c r="A60" s="16" t="str">
        <f aca="false">IF(B60="","",ROW()-12)</f>
        <v/>
      </c>
      <c r="B60" s="18"/>
      <c r="C60" s="18"/>
      <c r="D60" s="19"/>
      <c r="E60" s="18"/>
      <c r="F60" s="18"/>
      <c r="G60" s="20"/>
      <c r="H60" s="20"/>
      <c r="I60" s="20"/>
      <c r="J60" s="21"/>
      <c r="K60" s="22" t="str">
        <f aca="false">IF(B60="","",I60-H60)</f>
        <v/>
      </c>
      <c r="L60" s="23" t="str">
        <f aca="false">IF(B60="","",IF(H60=0,"",K60/H60))</f>
        <v/>
      </c>
      <c r="M60" s="7" t="str">
        <f aca="false">IF(B60="","",IF(J60&lt;=設定!$C$6,IF(L60&gt;=設定!$C$7,"I(コア)","II(回転)"),IF(L60&gt;=設定!$C$7,"III(厳選)","IV(見送り)")))</f>
        <v/>
      </c>
      <c r="N60" s="7" t="str">
        <f aca="false">IF(B60="","",IF(OR(M60="I(コア)",M60="II(回転)"),"仕入れ候補",IF(M60="III(厳選)","厳選検討（少数）","見送り")))</f>
        <v/>
      </c>
      <c r="O60" s="18"/>
    </row>
    <row r="61" customFormat="false" ht="15" hidden="false" customHeight="false" outlineLevel="0" collapsed="false">
      <c r="A61" s="16" t="str">
        <f aca="false">IF(B61="","",ROW()-12)</f>
        <v/>
      </c>
      <c r="B61" s="18"/>
      <c r="C61" s="18"/>
      <c r="D61" s="19"/>
      <c r="E61" s="18"/>
      <c r="F61" s="18"/>
      <c r="G61" s="20"/>
      <c r="H61" s="20"/>
      <c r="I61" s="20"/>
      <c r="J61" s="21"/>
      <c r="K61" s="22" t="str">
        <f aca="false">IF(B61="","",I61-H61)</f>
        <v/>
      </c>
      <c r="L61" s="23" t="str">
        <f aca="false">IF(B61="","",IF(H61=0,"",K61/H61))</f>
        <v/>
      </c>
      <c r="M61" s="7" t="str">
        <f aca="false">IF(B61="","",IF(J61&lt;=設定!$C$6,IF(L61&gt;=設定!$C$7,"I(コア)","II(回転)"),IF(L61&gt;=設定!$C$7,"III(厳選)","IV(見送り)")))</f>
        <v/>
      </c>
      <c r="N61" s="7" t="str">
        <f aca="false">IF(B61="","",IF(OR(M61="I(コア)",M61="II(回転)"),"仕入れ候補",IF(M61="III(厳選)","厳選検討（少数）","見送り")))</f>
        <v/>
      </c>
      <c r="O61" s="18"/>
    </row>
    <row r="62" customFormat="false" ht="15" hidden="false" customHeight="false" outlineLevel="0" collapsed="false">
      <c r="A62" s="16" t="str">
        <f aca="false">IF(B62="","",ROW()-12)</f>
        <v/>
      </c>
      <c r="B62" s="18"/>
      <c r="C62" s="18"/>
      <c r="D62" s="19"/>
      <c r="E62" s="18"/>
      <c r="F62" s="18"/>
      <c r="G62" s="20"/>
      <c r="H62" s="20"/>
      <c r="I62" s="20"/>
      <c r="J62" s="21"/>
      <c r="K62" s="22" t="str">
        <f aca="false">IF(B62="","",I62-H62)</f>
        <v/>
      </c>
      <c r="L62" s="23" t="str">
        <f aca="false">IF(B62="","",IF(H62=0,"",K62/H62))</f>
        <v/>
      </c>
      <c r="M62" s="7" t="str">
        <f aca="false">IF(B62="","",IF(J62&lt;=設定!$C$6,IF(L62&gt;=設定!$C$7,"I(コア)","II(回転)"),IF(L62&gt;=設定!$C$7,"III(厳選)","IV(見送り)")))</f>
        <v/>
      </c>
      <c r="N62" s="7" t="str">
        <f aca="false">IF(B62="","",IF(OR(M62="I(コア)",M62="II(回転)"),"仕入れ候補",IF(M62="III(厳選)","厳選検討（少数）","見送り")))</f>
        <v/>
      </c>
      <c r="O62" s="18"/>
    </row>
    <row r="63" customFormat="false" ht="15" hidden="false" customHeight="false" outlineLevel="0" collapsed="false">
      <c r="A63" s="16" t="str">
        <f aca="false">IF(B63="","",ROW()-12)</f>
        <v/>
      </c>
      <c r="B63" s="18"/>
      <c r="C63" s="18"/>
      <c r="D63" s="19"/>
      <c r="E63" s="18"/>
      <c r="F63" s="18"/>
      <c r="G63" s="20"/>
      <c r="H63" s="20"/>
      <c r="I63" s="20"/>
      <c r="J63" s="21"/>
      <c r="K63" s="22" t="str">
        <f aca="false">IF(B63="","",I63-H63)</f>
        <v/>
      </c>
      <c r="L63" s="23" t="str">
        <f aca="false">IF(B63="","",IF(H63=0,"",K63/H63))</f>
        <v/>
      </c>
      <c r="M63" s="7" t="str">
        <f aca="false">IF(B63="","",IF(J63&lt;=設定!$C$6,IF(L63&gt;=設定!$C$7,"I(コア)","II(回転)"),IF(L63&gt;=設定!$C$7,"III(厳選)","IV(見送り)")))</f>
        <v/>
      </c>
      <c r="N63" s="7" t="str">
        <f aca="false">IF(B63="","",IF(OR(M63="I(コア)",M63="II(回転)"),"仕入れ候補",IF(M63="III(厳選)","厳選検討（少数）","見送り")))</f>
        <v/>
      </c>
      <c r="O63" s="18"/>
    </row>
    <row r="64" customFormat="false" ht="15" hidden="false" customHeight="false" outlineLevel="0" collapsed="false">
      <c r="A64" s="16" t="str">
        <f aca="false">IF(B64="","",ROW()-12)</f>
        <v/>
      </c>
      <c r="B64" s="18"/>
      <c r="C64" s="18"/>
      <c r="D64" s="19"/>
      <c r="E64" s="18"/>
      <c r="F64" s="18"/>
      <c r="G64" s="20"/>
      <c r="H64" s="20"/>
      <c r="I64" s="20"/>
      <c r="J64" s="21"/>
      <c r="K64" s="22" t="str">
        <f aca="false">IF(B64="","",I64-H64)</f>
        <v/>
      </c>
      <c r="L64" s="23" t="str">
        <f aca="false">IF(B64="","",IF(H64=0,"",K64/H64))</f>
        <v/>
      </c>
      <c r="M64" s="7" t="str">
        <f aca="false">IF(B64="","",IF(J64&lt;=設定!$C$6,IF(L64&gt;=設定!$C$7,"I(コア)","II(回転)"),IF(L64&gt;=設定!$C$7,"III(厳選)","IV(見送り)")))</f>
        <v/>
      </c>
      <c r="N64" s="7" t="str">
        <f aca="false">IF(B64="","",IF(OR(M64="I(コア)",M64="II(回転)"),"仕入れ候補",IF(M64="III(厳選)","厳選検討（少数）","見送り")))</f>
        <v/>
      </c>
      <c r="O64" s="18"/>
    </row>
    <row r="65" customFormat="false" ht="15" hidden="false" customHeight="false" outlineLevel="0" collapsed="false">
      <c r="A65" s="16" t="str">
        <f aca="false">IF(B65="","",ROW()-12)</f>
        <v/>
      </c>
      <c r="B65" s="18"/>
      <c r="C65" s="18"/>
      <c r="D65" s="19"/>
      <c r="E65" s="18"/>
      <c r="F65" s="18"/>
      <c r="G65" s="20"/>
      <c r="H65" s="20"/>
      <c r="I65" s="20"/>
      <c r="J65" s="21"/>
      <c r="K65" s="22" t="str">
        <f aca="false">IF(B65="","",I65-H65)</f>
        <v/>
      </c>
      <c r="L65" s="23" t="str">
        <f aca="false">IF(B65="","",IF(H65=0,"",K65/H65))</f>
        <v/>
      </c>
      <c r="M65" s="7" t="str">
        <f aca="false">IF(B65="","",IF(J65&lt;=設定!$C$6,IF(L65&gt;=設定!$C$7,"I(コア)","II(回転)"),IF(L65&gt;=設定!$C$7,"III(厳選)","IV(見送り)")))</f>
        <v/>
      </c>
      <c r="N65" s="7" t="str">
        <f aca="false">IF(B65="","",IF(OR(M65="I(コア)",M65="II(回転)"),"仕入れ候補",IF(M65="III(厳選)","厳選検討（少数）","見送り")))</f>
        <v/>
      </c>
      <c r="O65" s="18"/>
    </row>
    <row r="66" customFormat="false" ht="15" hidden="false" customHeight="false" outlineLevel="0" collapsed="false">
      <c r="A66" s="16" t="str">
        <f aca="false">IF(B66="","",ROW()-12)</f>
        <v/>
      </c>
      <c r="B66" s="18"/>
      <c r="C66" s="18"/>
      <c r="D66" s="19"/>
      <c r="E66" s="18"/>
      <c r="F66" s="18"/>
      <c r="G66" s="20"/>
      <c r="H66" s="20"/>
      <c r="I66" s="20"/>
      <c r="J66" s="21"/>
      <c r="K66" s="22" t="str">
        <f aca="false">IF(B66="","",I66-H66)</f>
        <v/>
      </c>
      <c r="L66" s="23" t="str">
        <f aca="false">IF(B66="","",IF(H66=0,"",K66/H66))</f>
        <v/>
      </c>
      <c r="M66" s="7" t="str">
        <f aca="false">IF(B66="","",IF(J66&lt;=設定!$C$6,IF(L66&gt;=設定!$C$7,"I(コア)","II(回転)"),IF(L66&gt;=設定!$C$7,"III(厳選)","IV(見送り)")))</f>
        <v/>
      </c>
      <c r="N66" s="7" t="str">
        <f aca="false">IF(B66="","",IF(OR(M66="I(コア)",M66="II(回転)"),"仕入れ候補",IF(M66="III(厳選)","厳選検討（少数）","見送り")))</f>
        <v/>
      </c>
      <c r="O66" s="18"/>
    </row>
    <row r="67" customFormat="false" ht="15" hidden="false" customHeight="false" outlineLevel="0" collapsed="false">
      <c r="A67" s="16" t="str">
        <f aca="false">IF(B67="","",ROW()-12)</f>
        <v/>
      </c>
      <c r="B67" s="18"/>
      <c r="C67" s="18"/>
      <c r="D67" s="19"/>
      <c r="E67" s="18"/>
      <c r="F67" s="18"/>
      <c r="G67" s="20"/>
      <c r="H67" s="20"/>
      <c r="I67" s="20"/>
      <c r="J67" s="21"/>
      <c r="K67" s="22" t="str">
        <f aca="false">IF(B67="","",I67-H67)</f>
        <v/>
      </c>
      <c r="L67" s="23" t="str">
        <f aca="false">IF(B67="","",IF(H67=0,"",K67/H67))</f>
        <v/>
      </c>
      <c r="M67" s="7" t="str">
        <f aca="false">IF(B67="","",IF(J67&lt;=設定!$C$6,IF(L67&gt;=設定!$C$7,"I(コア)","II(回転)"),IF(L67&gt;=設定!$C$7,"III(厳選)","IV(見送り)")))</f>
        <v/>
      </c>
      <c r="N67" s="7" t="str">
        <f aca="false">IF(B67="","",IF(OR(M67="I(コア)",M67="II(回転)"),"仕入れ候補",IF(M67="III(厳選)","厳選検討（少数）","見送り")))</f>
        <v/>
      </c>
      <c r="O67" s="18"/>
    </row>
    <row r="68" customFormat="false" ht="15" hidden="false" customHeight="false" outlineLevel="0" collapsed="false">
      <c r="A68" s="16" t="str">
        <f aca="false">IF(B68="","",ROW()-12)</f>
        <v/>
      </c>
      <c r="B68" s="18"/>
      <c r="C68" s="18"/>
      <c r="D68" s="19"/>
      <c r="E68" s="18"/>
      <c r="F68" s="18"/>
      <c r="G68" s="20"/>
      <c r="H68" s="20"/>
      <c r="I68" s="20"/>
      <c r="J68" s="21"/>
      <c r="K68" s="22" t="str">
        <f aca="false">IF(B68="","",I68-H68)</f>
        <v/>
      </c>
      <c r="L68" s="23" t="str">
        <f aca="false">IF(B68="","",IF(H68=0,"",K68/H68))</f>
        <v/>
      </c>
      <c r="M68" s="7" t="str">
        <f aca="false">IF(B68="","",IF(J68&lt;=設定!$C$6,IF(L68&gt;=設定!$C$7,"I(コア)","II(回転)"),IF(L68&gt;=設定!$C$7,"III(厳選)","IV(見送り)")))</f>
        <v/>
      </c>
      <c r="N68" s="7" t="str">
        <f aca="false">IF(B68="","",IF(OR(M68="I(コア)",M68="II(回転)"),"仕入れ候補",IF(M68="III(厳選)","厳選検討（少数）","見送り")))</f>
        <v/>
      </c>
      <c r="O68" s="18"/>
    </row>
    <row r="69" customFormat="false" ht="15" hidden="false" customHeight="false" outlineLevel="0" collapsed="false">
      <c r="A69" s="16" t="str">
        <f aca="false">IF(B69="","",ROW()-12)</f>
        <v/>
      </c>
      <c r="B69" s="18"/>
      <c r="C69" s="18"/>
      <c r="D69" s="19"/>
      <c r="E69" s="18"/>
      <c r="F69" s="18"/>
      <c r="G69" s="20"/>
      <c r="H69" s="20"/>
      <c r="I69" s="20"/>
      <c r="J69" s="21"/>
      <c r="K69" s="22" t="str">
        <f aca="false">IF(B69="","",I69-H69)</f>
        <v/>
      </c>
      <c r="L69" s="23" t="str">
        <f aca="false">IF(B69="","",IF(H69=0,"",K69/H69))</f>
        <v/>
      </c>
      <c r="M69" s="7" t="str">
        <f aca="false">IF(B69="","",IF(J69&lt;=設定!$C$6,IF(L69&gt;=設定!$C$7,"I(コア)","II(回転)"),IF(L69&gt;=設定!$C$7,"III(厳選)","IV(見送り)")))</f>
        <v/>
      </c>
      <c r="N69" s="7" t="str">
        <f aca="false">IF(B69="","",IF(OR(M69="I(コア)",M69="II(回転)"),"仕入れ候補",IF(M69="III(厳選)","厳選検討（少数）","見送り")))</f>
        <v/>
      </c>
      <c r="O69" s="18"/>
    </row>
    <row r="70" customFormat="false" ht="15" hidden="false" customHeight="false" outlineLevel="0" collapsed="false">
      <c r="A70" s="16" t="str">
        <f aca="false">IF(B70="","",ROW()-12)</f>
        <v/>
      </c>
      <c r="B70" s="18"/>
      <c r="C70" s="18"/>
      <c r="D70" s="19"/>
      <c r="E70" s="18"/>
      <c r="F70" s="18"/>
      <c r="G70" s="20"/>
      <c r="H70" s="20"/>
      <c r="I70" s="20"/>
      <c r="J70" s="21"/>
      <c r="K70" s="22" t="str">
        <f aca="false">IF(B70="","",I70-H70)</f>
        <v/>
      </c>
      <c r="L70" s="23" t="str">
        <f aca="false">IF(B70="","",IF(H70=0,"",K70/H70))</f>
        <v/>
      </c>
      <c r="M70" s="7" t="str">
        <f aca="false">IF(B70="","",IF(J70&lt;=設定!$C$6,IF(L70&gt;=設定!$C$7,"I(コア)","II(回転)"),IF(L70&gt;=設定!$C$7,"III(厳選)","IV(見送り)")))</f>
        <v/>
      </c>
      <c r="N70" s="7" t="str">
        <f aca="false">IF(B70="","",IF(OR(M70="I(コア)",M70="II(回転)"),"仕入れ候補",IF(M70="III(厳選)","厳選検討（少数）","見送り")))</f>
        <v/>
      </c>
      <c r="O70" s="18"/>
    </row>
    <row r="71" customFormat="false" ht="15" hidden="false" customHeight="false" outlineLevel="0" collapsed="false">
      <c r="A71" s="16" t="str">
        <f aca="false">IF(B71="","",ROW()-12)</f>
        <v/>
      </c>
      <c r="B71" s="18"/>
      <c r="C71" s="18"/>
      <c r="D71" s="19"/>
      <c r="E71" s="18"/>
      <c r="F71" s="18"/>
      <c r="G71" s="20"/>
      <c r="H71" s="20"/>
      <c r="I71" s="20"/>
      <c r="J71" s="21"/>
      <c r="K71" s="22" t="str">
        <f aca="false">IF(B71="","",I71-H71)</f>
        <v/>
      </c>
      <c r="L71" s="23" t="str">
        <f aca="false">IF(B71="","",IF(H71=0,"",K71/H71))</f>
        <v/>
      </c>
      <c r="M71" s="7" t="str">
        <f aca="false">IF(B71="","",IF(J71&lt;=設定!$C$6,IF(L71&gt;=設定!$C$7,"I(コア)","II(回転)"),IF(L71&gt;=設定!$C$7,"III(厳選)","IV(見送り)")))</f>
        <v/>
      </c>
      <c r="N71" s="7" t="str">
        <f aca="false">IF(B71="","",IF(OR(M71="I(コア)",M71="II(回転)"),"仕入れ候補",IF(M71="III(厳選)","厳選検討（少数）","見送り")))</f>
        <v/>
      </c>
      <c r="O71" s="18"/>
    </row>
    <row r="72" customFormat="false" ht="15" hidden="false" customHeight="false" outlineLevel="0" collapsed="false">
      <c r="A72" s="16" t="str">
        <f aca="false">IF(B72="","",ROW()-12)</f>
        <v/>
      </c>
      <c r="B72" s="18"/>
      <c r="C72" s="18"/>
      <c r="D72" s="19"/>
      <c r="E72" s="18"/>
      <c r="F72" s="18"/>
      <c r="G72" s="20"/>
      <c r="H72" s="20"/>
      <c r="I72" s="20"/>
      <c r="J72" s="21"/>
      <c r="K72" s="22" t="str">
        <f aca="false">IF(B72="","",I72-H72)</f>
        <v/>
      </c>
      <c r="L72" s="23" t="str">
        <f aca="false">IF(B72="","",IF(H72=0,"",K72/H72))</f>
        <v/>
      </c>
      <c r="M72" s="7" t="str">
        <f aca="false">IF(B72="","",IF(J72&lt;=設定!$C$6,IF(L72&gt;=設定!$C$7,"I(コア)","II(回転)"),IF(L72&gt;=設定!$C$7,"III(厳選)","IV(見送り)")))</f>
        <v/>
      </c>
      <c r="N72" s="7" t="str">
        <f aca="false">IF(B72="","",IF(OR(M72="I(コア)",M72="II(回転)"),"仕入れ候補",IF(M72="III(厳選)","厳選検討（少数）","見送り")))</f>
        <v/>
      </c>
      <c r="O72" s="18"/>
    </row>
    <row r="73" customFormat="false" ht="15" hidden="false" customHeight="false" outlineLevel="0" collapsed="false">
      <c r="A73" s="16" t="str">
        <f aca="false">IF(B73="","",ROW()-12)</f>
        <v/>
      </c>
      <c r="B73" s="18"/>
      <c r="C73" s="18"/>
      <c r="D73" s="19"/>
      <c r="E73" s="18"/>
      <c r="F73" s="18"/>
      <c r="G73" s="20"/>
      <c r="H73" s="20"/>
      <c r="I73" s="20"/>
      <c r="J73" s="21"/>
      <c r="K73" s="22" t="str">
        <f aca="false">IF(B73="","",I73-H73)</f>
        <v/>
      </c>
      <c r="L73" s="23" t="str">
        <f aca="false">IF(B73="","",IF(H73=0,"",K73/H73))</f>
        <v/>
      </c>
      <c r="M73" s="7" t="str">
        <f aca="false">IF(B73="","",IF(J73&lt;=設定!$C$6,IF(L73&gt;=設定!$C$7,"I(コア)","II(回転)"),IF(L73&gt;=設定!$C$7,"III(厳選)","IV(見送り)")))</f>
        <v/>
      </c>
      <c r="N73" s="7" t="str">
        <f aca="false">IF(B73="","",IF(OR(M73="I(コア)",M73="II(回転)"),"仕入れ候補",IF(M73="III(厳選)","厳選検討（少数）","見送り")))</f>
        <v/>
      </c>
      <c r="O73" s="18"/>
    </row>
    <row r="74" customFormat="false" ht="15" hidden="false" customHeight="false" outlineLevel="0" collapsed="false">
      <c r="A74" s="16" t="str">
        <f aca="false">IF(B74="","",ROW()-12)</f>
        <v/>
      </c>
      <c r="B74" s="18"/>
      <c r="C74" s="18"/>
      <c r="D74" s="19"/>
      <c r="E74" s="18"/>
      <c r="F74" s="18"/>
      <c r="G74" s="20"/>
      <c r="H74" s="20"/>
      <c r="I74" s="20"/>
      <c r="J74" s="21"/>
      <c r="K74" s="22" t="str">
        <f aca="false">IF(B74="","",I74-H74)</f>
        <v/>
      </c>
      <c r="L74" s="23" t="str">
        <f aca="false">IF(B74="","",IF(H74=0,"",K74/H74))</f>
        <v/>
      </c>
      <c r="M74" s="7" t="str">
        <f aca="false">IF(B74="","",IF(J74&lt;=設定!$C$6,IF(L74&gt;=設定!$C$7,"I(コア)","II(回転)"),IF(L74&gt;=設定!$C$7,"III(厳選)","IV(見送り)")))</f>
        <v/>
      </c>
      <c r="N74" s="7" t="str">
        <f aca="false">IF(B74="","",IF(OR(M74="I(コア)",M74="II(回転)"),"仕入れ候補",IF(M74="III(厳選)","厳選検討（少数）","見送り")))</f>
        <v/>
      </c>
      <c r="O74" s="18"/>
    </row>
    <row r="75" customFormat="false" ht="15" hidden="false" customHeight="false" outlineLevel="0" collapsed="false">
      <c r="A75" s="16" t="str">
        <f aca="false">IF(B75="","",ROW()-12)</f>
        <v/>
      </c>
      <c r="B75" s="18"/>
      <c r="C75" s="18"/>
      <c r="D75" s="19"/>
      <c r="E75" s="18"/>
      <c r="F75" s="18"/>
      <c r="G75" s="20"/>
      <c r="H75" s="20"/>
      <c r="I75" s="20"/>
      <c r="J75" s="21"/>
      <c r="K75" s="22" t="str">
        <f aca="false">IF(B75="","",I75-H75)</f>
        <v/>
      </c>
      <c r="L75" s="23" t="str">
        <f aca="false">IF(B75="","",IF(H75=0,"",K75/H75))</f>
        <v/>
      </c>
      <c r="M75" s="7" t="str">
        <f aca="false">IF(B75="","",IF(J75&lt;=設定!$C$6,IF(L75&gt;=設定!$C$7,"I(コア)","II(回転)"),IF(L75&gt;=設定!$C$7,"III(厳選)","IV(見送り)")))</f>
        <v/>
      </c>
      <c r="N75" s="7" t="str">
        <f aca="false">IF(B75="","",IF(OR(M75="I(コア)",M75="II(回転)"),"仕入れ候補",IF(M75="III(厳選)","厳選検討（少数）","見送り")))</f>
        <v/>
      </c>
      <c r="O75" s="18"/>
    </row>
    <row r="76" customFormat="false" ht="15" hidden="false" customHeight="false" outlineLevel="0" collapsed="false">
      <c r="A76" s="16" t="str">
        <f aca="false">IF(B76="","",ROW()-12)</f>
        <v/>
      </c>
      <c r="B76" s="18"/>
      <c r="C76" s="18"/>
      <c r="D76" s="19"/>
      <c r="E76" s="18"/>
      <c r="F76" s="18"/>
      <c r="G76" s="20"/>
      <c r="H76" s="20"/>
      <c r="I76" s="20"/>
      <c r="J76" s="21"/>
      <c r="K76" s="22" t="str">
        <f aca="false">IF(B76="","",I76-H76)</f>
        <v/>
      </c>
      <c r="L76" s="23" t="str">
        <f aca="false">IF(B76="","",IF(H76=0,"",K76/H76))</f>
        <v/>
      </c>
      <c r="M76" s="7" t="str">
        <f aca="false">IF(B76="","",IF(J76&lt;=設定!$C$6,IF(L76&gt;=設定!$C$7,"I(コア)","II(回転)"),IF(L76&gt;=設定!$C$7,"III(厳選)","IV(見送り)")))</f>
        <v/>
      </c>
      <c r="N76" s="7" t="str">
        <f aca="false">IF(B76="","",IF(OR(M76="I(コア)",M76="II(回転)"),"仕入れ候補",IF(M76="III(厳選)","厳選検討（少数）","見送り")))</f>
        <v/>
      </c>
      <c r="O76" s="18"/>
    </row>
    <row r="77" customFormat="false" ht="15" hidden="false" customHeight="false" outlineLevel="0" collapsed="false">
      <c r="A77" s="16" t="str">
        <f aca="false">IF(B77="","",ROW()-12)</f>
        <v/>
      </c>
      <c r="B77" s="18"/>
      <c r="C77" s="18"/>
      <c r="D77" s="19"/>
      <c r="E77" s="18"/>
      <c r="F77" s="18"/>
      <c r="G77" s="20"/>
      <c r="H77" s="20"/>
      <c r="I77" s="20"/>
      <c r="J77" s="21"/>
      <c r="K77" s="22" t="str">
        <f aca="false">IF(B77="","",I77-H77)</f>
        <v/>
      </c>
      <c r="L77" s="23" t="str">
        <f aca="false">IF(B77="","",IF(H77=0,"",K77/H77))</f>
        <v/>
      </c>
      <c r="M77" s="7" t="str">
        <f aca="false">IF(B77="","",IF(J77&lt;=設定!$C$6,IF(L77&gt;=設定!$C$7,"I(コア)","II(回転)"),IF(L77&gt;=設定!$C$7,"III(厳選)","IV(見送り)")))</f>
        <v/>
      </c>
      <c r="N77" s="7" t="str">
        <f aca="false">IF(B77="","",IF(OR(M77="I(コア)",M77="II(回転)"),"仕入れ候補",IF(M77="III(厳選)","厳選検討（少数）","見送り")))</f>
        <v/>
      </c>
      <c r="O77" s="18"/>
    </row>
    <row r="78" customFormat="false" ht="15" hidden="false" customHeight="false" outlineLevel="0" collapsed="false">
      <c r="A78" s="16" t="str">
        <f aca="false">IF(B78="","",ROW()-12)</f>
        <v/>
      </c>
      <c r="B78" s="18"/>
      <c r="C78" s="18"/>
      <c r="D78" s="19"/>
      <c r="E78" s="18"/>
      <c r="F78" s="18"/>
      <c r="G78" s="20"/>
      <c r="H78" s="20"/>
      <c r="I78" s="20"/>
      <c r="J78" s="21"/>
      <c r="K78" s="22" t="str">
        <f aca="false">IF(B78="","",I78-H78)</f>
        <v/>
      </c>
      <c r="L78" s="23" t="str">
        <f aca="false">IF(B78="","",IF(H78=0,"",K78/H78))</f>
        <v/>
      </c>
      <c r="M78" s="7" t="str">
        <f aca="false">IF(B78="","",IF(J78&lt;=設定!$C$6,IF(L78&gt;=設定!$C$7,"I(コア)","II(回転)"),IF(L78&gt;=設定!$C$7,"III(厳選)","IV(見送り)")))</f>
        <v/>
      </c>
      <c r="N78" s="7" t="str">
        <f aca="false">IF(B78="","",IF(OR(M78="I(コア)",M78="II(回転)"),"仕入れ候補",IF(M78="III(厳選)","厳選検討（少数）","見送り")))</f>
        <v/>
      </c>
      <c r="O78" s="18"/>
    </row>
    <row r="79" customFormat="false" ht="15" hidden="false" customHeight="false" outlineLevel="0" collapsed="false">
      <c r="A79" s="16" t="str">
        <f aca="false">IF(B79="","",ROW()-12)</f>
        <v/>
      </c>
      <c r="B79" s="18"/>
      <c r="C79" s="18"/>
      <c r="D79" s="19"/>
      <c r="E79" s="18"/>
      <c r="F79" s="18"/>
      <c r="G79" s="20"/>
      <c r="H79" s="20"/>
      <c r="I79" s="20"/>
      <c r="J79" s="21"/>
      <c r="K79" s="22" t="str">
        <f aca="false">IF(B79="","",I79-H79)</f>
        <v/>
      </c>
      <c r="L79" s="23" t="str">
        <f aca="false">IF(B79="","",IF(H79=0,"",K79/H79))</f>
        <v/>
      </c>
      <c r="M79" s="7" t="str">
        <f aca="false">IF(B79="","",IF(J79&lt;=設定!$C$6,IF(L79&gt;=設定!$C$7,"I(コア)","II(回転)"),IF(L79&gt;=設定!$C$7,"III(厳選)","IV(見送り)")))</f>
        <v/>
      </c>
      <c r="N79" s="7" t="str">
        <f aca="false">IF(B79="","",IF(OR(M79="I(コア)",M79="II(回転)"),"仕入れ候補",IF(M79="III(厳選)","厳選検討（少数）","見送り")))</f>
        <v/>
      </c>
      <c r="O79" s="18"/>
    </row>
    <row r="80" customFormat="false" ht="15" hidden="false" customHeight="false" outlineLevel="0" collapsed="false">
      <c r="A80" s="16" t="str">
        <f aca="false">IF(B80="","",ROW()-12)</f>
        <v/>
      </c>
      <c r="B80" s="18"/>
      <c r="C80" s="18"/>
      <c r="D80" s="19"/>
      <c r="E80" s="18"/>
      <c r="F80" s="18"/>
      <c r="G80" s="20"/>
      <c r="H80" s="20"/>
      <c r="I80" s="20"/>
      <c r="J80" s="21"/>
      <c r="K80" s="22" t="str">
        <f aca="false">IF(B80="","",I80-H80)</f>
        <v/>
      </c>
      <c r="L80" s="23" t="str">
        <f aca="false">IF(B80="","",IF(H80=0,"",K80/H80))</f>
        <v/>
      </c>
      <c r="M80" s="7" t="str">
        <f aca="false">IF(B80="","",IF(J80&lt;=設定!$C$6,IF(L80&gt;=設定!$C$7,"I(コア)","II(回転)"),IF(L80&gt;=設定!$C$7,"III(厳選)","IV(見送り)")))</f>
        <v/>
      </c>
      <c r="N80" s="7" t="str">
        <f aca="false">IF(B80="","",IF(OR(M80="I(コア)",M80="II(回転)"),"仕入れ候補",IF(M80="III(厳選)","厳選検討（少数）","見送り")))</f>
        <v/>
      </c>
      <c r="O80" s="18"/>
    </row>
    <row r="81" customFormat="false" ht="15" hidden="false" customHeight="false" outlineLevel="0" collapsed="false">
      <c r="A81" s="16" t="str">
        <f aca="false">IF(B81="","",ROW()-12)</f>
        <v/>
      </c>
      <c r="B81" s="18"/>
      <c r="C81" s="18"/>
      <c r="D81" s="19"/>
      <c r="E81" s="18"/>
      <c r="F81" s="18"/>
      <c r="G81" s="20"/>
      <c r="H81" s="20"/>
      <c r="I81" s="20"/>
      <c r="J81" s="21"/>
      <c r="K81" s="22" t="str">
        <f aca="false">IF(B81="","",I81-H81)</f>
        <v/>
      </c>
      <c r="L81" s="23" t="str">
        <f aca="false">IF(B81="","",IF(H81=0,"",K81/H81))</f>
        <v/>
      </c>
      <c r="M81" s="7" t="str">
        <f aca="false">IF(B81="","",IF(J81&lt;=設定!$C$6,IF(L81&gt;=設定!$C$7,"I(コア)","II(回転)"),IF(L81&gt;=設定!$C$7,"III(厳選)","IV(見送り)")))</f>
        <v/>
      </c>
      <c r="N81" s="7" t="str">
        <f aca="false">IF(B81="","",IF(OR(M81="I(コア)",M81="II(回転)"),"仕入れ候補",IF(M81="III(厳選)","厳選検討（少数）","見送り")))</f>
        <v/>
      </c>
      <c r="O81" s="18"/>
    </row>
    <row r="82" customFormat="false" ht="15" hidden="false" customHeight="false" outlineLevel="0" collapsed="false">
      <c r="A82" s="16" t="str">
        <f aca="false">IF(B82="","",ROW()-12)</f>
        <v/>
      </c>
      <c r="B82" s="18"/>
      <c r="C82" s="18"/>
      <c r="D82" s="19"/>
      <c r="E82" s="18"/>
      <c r="F82" s="18"/>
      <c r="G82" s="20"/>
      <c r="H82" s="20"/>
      <c r="I82" s="20"/>
      <c r="J82" s="21"/>
      <c r="K82" s="22" t="str">
        <f aca="false">IF(B82="","",I82-H82)</f>
        <v/>
      </c>
      <c r="L82" s="23" t="str">
        <f aca="false">IF(B82="","",IF(H82=0,"",K82/H82))</f>
        <v/>
      </c>
      <c r="M82" s="7" t="str">
        <f aca="false">IF(B82="","",IF(J82&lt;=設定!$C$6,IF(L82&gt;=設定!$C$7,"I(コア)","II(回転)"),IF(L82&gt;=設定!$C$7,"III(厳選)","IV(見送り)")))</f>
        <v/>
      </c>
      <c r="N82" s="7" t="str">
        <f aca="false">IF(B82="","",IF(OR(M82="I(コア)",M82="II(回転)"),"仕入れ候補",IF(M82="III(厳選)","厳選検討（少数）","見送り")))</f>
        <v/>
      </c>
      <c r="O82" s="18"/>
    </row>
    <row r="83" customFormat="false" ht="15" hidden="false" customHeight="false" outlineLevel="0" collapsed="false">
      <c r="A83" s="16" t="str">
        <f aca="false">IF(B83="","",ROW()-12)</f>
        <v/>
      </c>
      <c r="B83" s="18"/>
      <c r="C83" s="18"/>
      <c r="D83" s="19"/>
      <c r="E83" s="18"/>
      <c r="F83" s="18"/>
      <c r="G83" s="20"/>
      <c r="H83" s="20"/>
      <c r="I83" s="20"/>
      <c r="J83" s="21"/>
      <c r="K83" s="22" t="str">
        <f aca="false">IF(B83="","",I83-H83)</f>
        <v/>
      </c>
      <c r="L83" s="23" t="str">
        <f aca="false">IF(B83="","",IF(H83=0,"",K83/H83))</f>
        <v/>
      </c>
      <c r="M83" s="7" t="str">
        <f aca="false">IF(B83="","",IF(J83&lt;=設定!$C$6,IF(L83&gt;=設定!$C$7,"I(コア)","II(回転)"),IF(L83&gt;=設定!$C$7,"III(厳選)","IV(見送り)")))</f>
        <v/>
      </c>
      <c r="N83" s="7" t="str">
        <f aca="false">IF(B83="","",IF(OR(M83="I(コア)",M83="II(回転)"),"仕入れ候補",IF(M83="III(厳選)","厳選検討（少数）","見送り")))</f>
        <v/>
      </c>
      <c r="O83" s="18"/>
    </row>
    <row r="84" customFormat="false" ht="15" hidden="false" customHeight="false" outlineLevel="0" collapsed="false">
      <c r="A84" s="16" t="str">
        <f aca="false">IF(B84="","",ROW()-12)</f>
        <v/>
      </c>
      <c r="B84" s="18"/>
      <c r="C84" s="18"/>
      <c r="D84" s="19"/>
      <c r="E84" s="18"/>
      <c r="F84" s="18"/>
      <c r="G84" s="20"/>
      <c r="H84" s="20"/>
      <c r="I84" s="20"/>
      <c r="J84" s="21"/>
      <c r="K84" s="22" t="str">
        <f aca="false">IF(B84="","",I84-H84)</f>
        <v/>
      </c>
      <c r="L84" s="23" t="str">
        <f aca="false">IF(B84="","",IF(H84=0,"",K84/H84))</f>
        <v/>
      </c>
      <c r="M84" s="7" t="str">
        <f aca="false">IF(B84="","",IF(J84&lt;=設定!$C$6,IF(L84&gt;=設定!$C$7,"I(コア)","II(回転)"),IF(L84&gt;=設定!$C$7,"III(厳選)","IV(見送り)")))</f>
        <v/>
      </c>
      <c r="N84" s="7" t="str">
        <f aca="false">IF(B84="","",IF(OR(M84="I(コア)",M84="II(回転)"),"仕入れ候補",IF(M84="III(厳選)","厳選検討（少数）","見送り")))</f>
        <v/>
      </c>
      <c r="O84" s="18"/>
    </row>
    <row r="85" customFormat="false" ht="15" hidden="false" customHeight="false" outlineLevel="0" collapsed="false">
      <c r="A85" s="16" t="str">
        <f aca="false">IF(B85="","",ROW()-12)</f>
        <v/>
      </c>
      <c r="B85" s="18"/>
      <c r="C85" s="18"/>
      <c r="D85" s="19"/>
      <c r="E85" s="18"/>
      <c r="F85" s="18"/>
      <c r="G85" s="20"/>
      <c r="H85" s="20"/>
      <c r="I85" s="20"/>
      <c r="J85" s="21"/>
      <c r="K85" s="22" t="str">
        <f aca="false">IF(B85="","",I85-H85)</f>
        <v/>
      </c>
      <c r="L85" s="23" t="str">
        <f aca="false">IF(B85="","",IF(H85=0,"",K85/H85))</f>
        <v/>
      </c>
      <c r="M85" s="7" t="str">
        <f aca="false">IF(B85="","",IF(J85&lt;=設定!$C$6,IF(L85&gt;=設定!$C$7,"I(コア)","II(回転)"),IF(L85&gt;=設定!$C$7,"III(厳選)","IV(見送り)")))</f>
        <v/>
      </c>
      <c r="N85" s="7" t="str">
        <f aca="false">IF(B85="","",IF(OR(M85="I(コア)",M85="II(回転)"),"仕入れ候補",IF(M85="III(厳選)","厳選検討（少数）","見送り")))</f>
        <v/>
      </c>
      <c r="O85" s="18"/>
    </row>
    <row r="86" customFormat="false" ht="15" hidden="false" customHeight="false" outlineLevel="0" collapsed="false">
      <c r="A86" s="16" t="str">
        <f aca="false">IF(B86="","",ROW()-12)</f>
        <v/>
      </c>
      <c r="B86" s="18"/>
      <c r="C86" s="18"/>
      <c r="D86" s="19"/>
      <c r="E86" s="18"/>
      <c r="F86" s="18"/>
      <c r="G86" s="20"/>
      <c r="H86" s="20"/>
      <c r="I86" s="20"/>
      <c r="J86" s="21"/>
      <c r="K86" s="22" t="str">
        <f aca="false">IF(B86="","",I86-H86)</f>
        <v/>
      </c>
      <c r="L86" s="23" t="str">
        <f aca="false">IF(B86="","",IF(H86=0,"",K86/H86))</f>
        <v/>
      </c>
      <c r="M86" s="7" t="str">
        <f aca="false">IF(B86="","",IF(J86&lt;=設定!$C$6,IF(L86&gt;=設定!$C$7,"I(コア)","II(回転)"),IF(L86&gt;=設定!$C$7,"III(厳選)","IV(見送り)")))</f>
        <v/>
      </c>
      <c r="N86" s="7" t="str">
        <f aca="false">IF(B86="","",IF(OR(M86="I(コア)",M86="II(回転)"),"仕入れ候補",IF(M86="III(厳選)","厳選検討（少数）","見送り")))</f>
        <v/>
      </c>
      <c r="O86" s="18"/>
    </row>
    <row r="87" customFormat="false" ht="15" hidden="false" customHeight="false" outlineLevel="0" collapsed="false">
      <c r="A87" s="16" t="str">
        <f aca="false">IF(B87="","",ROW()-12)</f>
        <v/>
      </c>
      <c r="B87" s="18"/>
      <c r="C87" s="18"/>
      <c r="D87" s="19"/>
      <c r="E87" s="18"/>
      <c r="F87" s="18"/>
      <c r="G87" s="20"/>
      <c r="H87" s="20"/>
      <c r="I87" s="20"/>
      <c r="J87" s="21"/>
      <c r="K87" s="22" t="str">
        <f aca="false">IF(B87="","",I87-H87)</f>
        <v/>
      </c>
      <c r="L87" s="23" t="str">
        <f aca="false">IF(B87="","",IF(H87=0,"",K87/H87))</f>
        <v/>
      </c>
      <c r="M87" s="7" t="str">
        <f aca="false">IF(B87="","",IF(J87&lt;=設定!$C$6,IF(L87&gt;=設定!$C$7,"I(コア)","II(回転)"),IF(L87&gt;=設定!$C$7,"III(厳選)","IV(見送り)")))</f>
        <v/>
      </c>
      <c r="N87" s="7" t="str">
        <f aca="false">IF(B87="","",IF(OR(M87="I(コア)",M87="II(回転)"),"仕入れ候補",IF(M87="III(厳選)","厳選検討（少数）","見送り")))</f>
        <v/>
      </c>
      <c r="O87" s="18"/>
    </row>
    <row r="88" customFormat="false" ht="15" hidden="false" customHeight="false" outlineLevel="0" collapsed="false">
      <c r="A88" s="16" t="str">
        <f aca="false">IF(B88="","",ROW()-12)</f>
        <v/>
      </c>
      <c r="B88" s="18"/>
      <c r="C88" s="18"/>
      <c r="D88" s="19"/>
      <c r="E88" s="18"/>
      <c r="F88" s="18"/>
      <c r="G88" s="20"/>
      <c r="H88" s="20"/>
      <c r="I88" s="20"/>
      <c r="J88" s="21"/>
      <c r="K88" s="22" t="str">
        <f aca="false">IF(B88="","",I88-H88)</f>
        <v/>
      </c>
      <c r="L88" s="23" t="str">
        <f aca="false">IF(B88="","",IF(H88=0,"",K88/H88))</f>
        <v/>
      </c>
      <c r="M88" s="7" t="str">
        <f aca="false">IF(B88="","",IF(J88&lt;=設定!$C$6,IF(L88&gt;=設定!$C$7,"I(コア)","II(回転)"),IF(L88&gt;=設定!$C$7,"III(厳選)","IV(見送り)")))</f>
        <v/>
      </c>
      <c r="N88" s="7" t="str">
        <f aca="false">IF(B88="","",IF(OR(M88="I(コア)",M88="II(回転)"),"仕入れ候補",IF(M88="III(厳選)","厳選検討（少数）","見送り")))</f>
        <v/>
      </c>
      <c r="O88" s="18"/>
    </row>
    <row r="89" customFormat="false" ht="15" hidden="false" customHeight="false" outlineLevel="0" collapsed="false">
      <c r="A89" s="16" t="str">
        <f aca="false">IF(B89="","",ROW()-12)</f>
        <v/>
      </c>
      <c r="B89" s="18"/>
      <c r="C89" s="18"/>
      <c r="D89" s="19"/>
      <c r="E89" s="18"/>
      <c r="F89" s="18"/>
      <c r="G89" s="20"/>
      <c r="H89" s="20"/>
      <c r="I89" s="20"/>
      <c r="J89" s="21"/>
      <c r="K89" s="22" t="str">
        <f aca="false">IF(B89="","",I89-H89)</f>
        <v/>
      </c>
      <c r="L89" s="23" t="str">
        <f aca="false">IF(B89="","",IF(H89=0,"",K89/H89))</f>
        <v/>
      </c>
      <c r="M89" s="7" t="str">
        <f aca="false">IF(B89="","",IF(J89&lt;=設定!$C$6,IF(L89&gt;=設定!$C$7,"I(コア)","II(回転)"),IF(L89&gt;=設定!$C$7,"III(厳選)","IV(見送り)")))</f>
        <v/>
      </c>
      <c r="N89" s="7" t="str">
        <f aca="false">IF(B89="","",IF(OR(M89="I(コア)",M89="II(回転)"),"仕入れ候補",IF(M89="III(厳選)","厳選検討（少数）","見送り")))</f>
        <v/>
      </c>
      <c r="O89" s="18"/>
    </row>
    <row r="90" customFormat="false" ht="15" hidden="false" customHeight="false" outlineLevel="0" collapsed="false">
      <c r="A90" s="16" t="str">
        <f aca="false">IF(B90="","",ROW()-12)</f>
        <v/>
      </c>
      <c r="B90" s="18"/>
      <c r="C90" s="18"/>
      <c r="D90" s="19"/>
      <c r="E90" s="18"/>
      <c r="F90" s="18"/>
      <c r="G90" s="20"/>
      <c r="H90" s="20"/>
      <c r="I90" s="20"/>
      <c r="J90" s="21"/>
      <c r="K90" s="22" t="str">
        <f aca="false">IF(B90="","",I90-H90)</f>
        <v/>
      </c>
      <c r="L90" s="23" t="str">
        <f aca="false">IF(B90="","",IF(H90=0,"",K90/H90))</f>
        <v/>
      </c>
      <c r="M90" s="7" t="str">
        <f aca="false">IF(B90="","",IF(J90&lt;=設定!$C$6,IF(L90&gt;=設定!$C$7,"I(コア)","II(回転)"),IF(L90&gt;=設定!$C$7,"III(厳選)","IV(見送り)")))</f>
        <v/>
      </c>
      <c r="N90" s="7" t="str">
        <f aca="false">IF(B90="","",IF(OR(M90="I(コア)",M90="II(回転)"),"仕入れ候補",IF(M90="III(厳選)","厳選検討（少数）","見送り")))</f>
        <v/>
      </c>
      <c r="O90" s="18"/>
    </row>
    <row r="91" customFormat="false" ht="15" hidden="false" customHeight="false" outlineLevel="0" collapsed="false">
      <c r="A91" s="16" t="str">
        <f aca="false">IF(B91="","",ROW()-12)</f>
        <v/>
      </c>
      <c r="B91" s="18"/>
      <c r="C91" s="18"/>
      <c r="D91" s="19"/>
      <c r="E91" s="18"/>
      <c r="F91" s="18"/>
      <c r="G91" s="20"/>
      <c r="H91" s="20"/>
      <c r="I91" s="20"/>
      <c r="J91" s="21"/>
      <c r="K91" s="22" t="str">
        <f aca="false">IF(B91="","",I91-H91)</f>
        <v/>
      </c>
      <c r="L91" s="23" t="str">
        <f aca="false">IF(B91="","",IF(H91=0,"",K91/H91))</f>
        <v/>
      </c>
      <c r="M91" s="7" t="str">
        <f aca="false">IF(B91="","",IF(J91&lt;=設定!$C$6,IF(L91&gt;=設定!$C$7,"I(コア)","II(回転)"),IF(L91&gt;=設定!$C$7,"III(厳選)","IV(見送り)")))</f>
        <v/>
      </c>
      <c r="N91" s="7" t="str">
        <f aca="false">IF(B91="","",IF(OR(M91="I(コア)",M91="II(回転)"),"仕入れ候補",IF(M91="III(厳選)","厳選検討（少数）","見送り")))</f>
        <v/>
      </c>
      <c r="O91" s="18"/>
    </row>
    <row r="92" customFormat="false" ht="15" hidden="false" customHeight="false" outlineLevel="0" collapsed="false">
      <c r="A92" s="16" t="str">
        <f aca="false">IF(B92="","",ROW()-12)</f>
        <v/>
      </c>
      <c r="B92" s="18"/>
      <c r="C92" s="18"/>
      <c r="D92" s="19"/>
      <c r="E92" s="18"/>
      <c r="F92" s="18"/>
      <c r="G92" s="20"/>
      <c r="H92" s="20"/>
      <c r="I92" s="20"/>
      <c r="J92" s="21"/>
      <c r="K92" s="22" t="str">
        <f aca="false">IF(B92="","",I92-H92)</f>
        <v/>
      </c>
      <c r="L92" s="23" t="str">
        <f aca="false">IF(B92="","",IF(H92=0,"",K92/H92))</f>
        <v/>
      </c>
      <c r="M92" s="7" t="str">
        <f aca="false">IF(B92="","",IF(J92&lt;=設定!$C$6,IF(L92&gt;=設定!$C$7,"I(コア)","II(回転)"),IF(L92&gt;=設定!$C$7,"III(厳選)","IV(見送り)")))</f>
        <v/>
      </c>
      <c r="N92" s="7" t="str">
        <f aca="false">IF(B92="","",IF(OR(M92="I(コア)",M92="II(回転)"),"仕入れ候補",IF(M92="III(厳選)","厳選検討（少数）","見送り")))</f>
        <v/>
      </c>
      <c r="O92" s="18"/>
    </row>
    <row r="93" customFormat="false" ht="15" hidden="false" customHeight="false" outlineLevel="0" collapsed="false">
      <c r="A93" s="16" t="str">
        <f aca="false">IF(B93="","",ROW()-12)</f>
        <v/>
      </c>
      <c r="B93" s="18"/>
      <c r="C93" s="18"/>
      <c r="D93" s="19"/>
      <c r="E93" s="18"/>
      <c r="F93" s="18"/>
      <c r="G93" s="20"/>
      <c r="H93" s="20"/>
      <c r="I93" s="20"/>
      <c r="J93" s="21"/>
      <c r="K93" s="22" t="str">
        <f aca="false">IF(B93="","",I93-H93)</f>
        <v/>
      </c>
      <c r="L93" s="23" t="str">
        <f aca="false">IF(B93="","",IF(H93=0,"",K93/H93))</f>
        <v/>
      </c>
      <c r="M93" s="7" t="str">
        <f aca="false">IF(B93="","",IF(J93&lt;=設定!$C$6,IF(L93&gt;=設定!$C$7,"I(コア)","II(回転)"),IF(L93&gt;=設定!$C$7,"III(厳選)","IV(見送り)")))</f>
        <v/>
      </c>
      <c r="N93" s="7" t="str">
        <f aca="false">IF(B93="","",IF(OR(M93="I(コア)",M93="II(回転)"),"仕入れ候補",IF(M93="III(厳選)","厳選検討（少数）","見送り")))</f>
        <v/>
      </c>
      <c r="O93" s="18"/>
    </row>
    <row r="94" customFormat="false" ht="15" hidden="false" customHeight="false" outlineLevel="0" collapsed="false">
      <c r="A94" s="16" t="str">
        <f aca="false">IF(B94="","",ROW()-12)</f>
        <v/>
      </c>
      <c r="B94" s="18"/>
      <c r="C94" s="18"/>
      <c r="D94" s="19"/>
      <c r="E94" s="18"/>
      <c r="F94" s="18"/>
      <c r="G94" s="20"/>
      <c r="H94" s="20"/>
      <c r="I94" s="20"/>
      <c r="J94" s="21"/>
      <c r="K94" s="22" t="str">
        <f aca="false">IF(B94="","",I94-H94)</f>
        <v/>
      </c>
      <c r="L94" s="23" t="str">
        <f aca="false">IF(B94="","",IF(H94=0,"",K94/H94))</f>
        <v/>
      </c>
      <c r="M94" s="7" t="str">
        <f aca="false">IF(B94="","",IF(J94&lt;=設定!$C$6,IF(L94&gt;=設定!$C$7,"I(コア)","II(回転)"),IF(L94&gt;=設定!$C$7,"III(厳選)","IV(見送り)")))</f>
        <v/>
      </c>
      <c r="N94" s="7" t="str">
        <f aca="false">IF(B94="","",IF(OR(M94="I(コア)",M94="II(回転)"),"仕入れ候補",IF(M94="III(厳選)","厳選検討（少数）","見送り")))</f>
        <v/>
      </c>
      <c r="O94" s="18"/>
    </row>
    <row r="95" customFormat="false" ht="15" hidden="false" customHeight="false" outlineLevel="0" collapsed="false">
      <c r="A95" s="16" t="str">
        <f aca="false">IF(B95="","",ROW()-12)</f>
        <v/>
      </c>
      <c r="B95" s="18"/>
      <c r="C95" s="18"/>
      <c r="D95" s="19"/>
      <c r="E95" s="18"/>
      <c r="F95" s="18"/>
      <c r="G95" s="20"/>
      <c r="H95" s="20"/>
      <c r="I95" s="20"/>
      <c r="J95" s="21"/>
      <c r="K95" s="22" t="str">
        <f aca="false">IF(B95="","",I95-H95)</f>
        <v/>
      </c>
      <c r="L95" s="23" t="str">
        <f aca="false">IF(B95="","",IF(H95=0,"",K95/H95))</f>
        <v/>
      </c>
      <c r="M95" s="7" t="str">
        <f aca="false">IF(B95="","",IF(J95&lt;=設定!$C$6,IF(L95&gt;=設定!$C$7,"I(コア)","II(回転)"),IF(L95&gt;=設定!$C$7,"III(厳選)","IV(見送り)")))</f>
        <v/>
      </c>
      <c r="N95" s="7" t="str">
        <f aca="false">IF(B95="","",IF(OR(M95="I(コア)",M95="II(回転)"),"仕入れ候補",IF(M95="III(厳選)","厳選検討（少数）","見送り")))</f>
        <v/>
      </c>
      <c r="O95" s="18"/>
    </row>
    <row r="96" customFormat="false" ht="15" hidden="false" customHeight="false" outlineLevel="0" collapsed="false">
      <c r="A96" s="16" t="str">
        <f aca="false">IF(B96="","",ROW()-12)</f>
        <v/>
      </c>
      <c r="B96" s="18"/>
      <c r="C96" s="18"/>
      <c r="D96" s="19"/>
      <c r="E96" s="18"/>
      <c r="F96" s="18"/>
      <c r="G96" s="20"/>
      <c r="H96" s="20"/>
      <c r="I96" s="20"/>
      <c r="J96" s="21"/>
      <c r="K96" s="22" t="str">
        <f aca="false">IF(B96="","",I96-H96)</f>
        <v/>
      </c>
      <c r="L96" s="23" t="str">
        <f aca="false">IF(B96="","",IF(H96=0,"",K96/H96))</f>
        <v/>
      </c>
      <c r="M96" s="7" t="str">
        <f aca="false">IF(B96="","",IF(J96&lt;=設定!$C$6,IF(L96&gt;=設定!$C$7,"I(コア)","II(回転)"),IF(L96&gt;=設定!$C$7,"III(厳選)","IV(見送り)")))</f>
        <v/>
      </c>
      <c r="N96" s="7" t="str">
        <f aca="false">IF(B96="","",IF(OR(M96="I(コア)",M96="II(回転)"),"仕入れ候補",IF(M96="III(厳選)","厳選検討（少数）","見送り")))</f>
        <v/>
      </c>
      <c r="O96" s="18"/>
    </row>
    <row r="97" customFormat="false" ht="15" hidden="false" customHeight="false" outlineLevel="0" collapsed="false">
      <c r="A97" s="16" t="str">
        <f aca="false">IF(B97="","",ROW()-12)</f>
        <v/>
      </c>
      <c r="B97" s="18"/>
      <c r="C97" s="18"/>
      <c r="D97" s="19"/>
      <c r="E97" s="18"/>
      <c r="F97" s="18"/>
      <c r="G97" s="20"/>
      <c r="H97" s="20"/>
      <c r="I97" s="20"/>
      <c r="J97" s="21"/>
      <c r="K97" s="22" t="str">
        <f aca="false">IF(B97="","",I97-H97)</f>
        <v/>
      </c>
      <c r="L97" s="23" t="str">
        <f aca="false">IF(B97="","",IF(H97=0,"",K97/H97))</f>
        <v/>
      </c>
      <c r="M97" s="7" t="str">
        <f aca="false">IF(B97="","",IF(J97&lt;=設定!$C$6,IF(L97&gt;=設定!$C$7,"I(コア)","II(回転)"),IF(L97&gt;=設定!$C$7,"III(厳選)","IV(見送り)")))</f>
        <v/>
      </c>
      <c r="N97" s="7" t="str">
        <f aca="false">IF(B97="","",IF(OR(M97="I(コア)",M97="II(回転)"),"仕入れ候補",IF(M97="III(厳選)","厳選検討（少数）","見送り")))</f>
        <v/>
      </c>
      <c r="O97" s="18"/>
    </row>
    <row r="98" customFormat="false" ht="15" hidden="false" customHeight="false" outlineLevel="0" collapsed="false">
      <c r="A98" s="16" t="str">
        <f aca="false">IF(B98="","",ROW()-12)</f>
        <v/>
      </c>
      <c r="B98" s="18"/>
      <c r="C98" s="18"/>
      <c r="D98" s="19"/>
      <c r="E98" s="18"/>
      <c r="F98" s="18"/>
      <c r="G98" s="20"/>
      <c r="H98" s="20"/>
      <c r="I98" s="20"/>
      <c r="J98" s="21"/>
      <c r="K98" s="22" t="str">
        <f aca="false">IF(B98="","",I98-H98)</f>
        <v/>
      </c>
      <c r="L98" s="23" t="str">
        <f aca="false">IF(B98="","",IF(H98=0,"",K98/H98))</f>
        <v/>
      </c>
      <c r="M98" s="7" t="str">
        <f aca="false">IF(B98="","",IF(J98&lt;=設定!$C$6,IF(L98&gt;=設定!$C$7,"I(コア)","II(回転)"),IF(L98&gt;=設定!$C$7,"III(厳選)","IV(見送り)")))</f>
        <v/>
      </c>
      <c r="N98" s="7" t="str">
        <f aca="false">IF(B98="","",IF(OR(M98="I(コア)",M98="II(回転)"),"仕入れ候補",IF(M98="III(厳選)","厳選検討（少数）","見送り")))</f>
        <v/>
      </c>
      <c r="O98" s="18"/>
    </row>
    <row r="99" customFormat="false" ht="15" hidden="false" customHeight="false" outlineLevel="0" collapsed="false">
      <c r="A99" s="16" t="str">
        <f aca="false">IF(B99="","",ROW()-12)</f>
        <v/>
      </c>
      <c r="B99" s="18"/>
      <c r="C99" s="18"/>
      <c r="D99" s="19"/>
      <c r="E99" s="18"/>
      <c r="F99" s="18"/>
      <c r="G99" s="20"/>
      <c r="H99" s="20"/>
      <c r="I99" s="20"/>
      <c r="J99" s="21"/>
      <c r="K99" s="22" t="str">
        <f aca="false">IF(B99="","",I99-H99)</f>
        <v/>
      </c>
      <c r="L99" s="23" t="str">
        <f aca="false">IF(B99="","",IF(H99=0,"",K99/H99))</f>
        <v/>
      </c>
      <c r="M99" s="7" t="str">
        <f aca="false">IF(B99="","",IF(J99&lt;=設定!$C$6,IF(L99&gt;=設定!$C$7,"I(コア)","II(回転)"),IF(L99&gt;=設定!$C$7,"III(厳選)","IV(見送り)")))</f>
        <v/>
      </c>
      <c r="N99" s="7" t="str">
        <f aca="false">IF(B99="","",IF(OR(M99="I(コア)",M99="II(回転)"),"仕入れ候補",IF(M99="III(厳選)","厳選検討（少数）","見送り")))</f>
        <v/>
      </c>
      <c r="O99" s="18"/>
    </row>
    <row r="100" customFormat="false" ht="15" hidden="false" customHeight="false" outlineLevel="0" collapsed="false">
      <c r="A100" s="16" t="str">
        <f aca="false">IF(B100="","",ROW()-12)</f>
        <v/>
      </c>
      <c r="B100" s="18"/>
      <c r="C100" s="18"/>
      <c r="D100" s="19"/>
      <c r="E100" s="18"/>
      <c r="F100" s="18"/>
      <c r="G100" s="20"/>
      <c r="H100" s="20"/>
      <c r="I100" s="20"/>
      <c r="J100" s="21"/>
      <c r="K100" s="22" t="str">
        <f aca="false">IF(B100="","",I100-H100)</f>
        <v/>
      </c>
      <c r="L100" s="23" t="str">
        <f aca="false">IF(B100="","",IF(H100=0,"",K100/H100))</f>
        <v/>
      </c>
      <c r="M100" s="7" t="str">
        <f aca="false">IF(B100="","",IF(J100&lt;=設定!$C$6,IF(L100&gt;=設定!$C$7,"I(コア)","II(回転)"),IF(L100&gt;=設定!$C$7,"III(厳選)","IV(見送り)")))</f>
        <v/>
      </c>
      <c r="N100" s="7" t="str">
        <f aca="false">IF(B100="","",IF(OR(M100="I(コア)",M100="II(回転)"),"仕入れ候補",IF(M100="III(厳選)","厳選検討（少数）","見送り")))</f>
        <v/>
      </c>
      <c r="O100" s="18"/>
    </row>
    <row r="101" customFormat="false" ht="15" hidden="false" customHeight="false" outlineLevel="0" collapsed="false">
      <c r="A101" s="16" t="str">
        <f aca="false">IF(B101="","",ROW()-12)</f>
        <v/>
      </c>
      <c r="B101" s="18"/>
      <c r="C101" s="18"/>
      <c r="D101" s="19"/>
      <c r="E101" s="18"/>
      <c r="F101" s="18"/>
      <c r="G101" s="20"/>
      <c r="H101" s="20"/>
      <c r="I101" s="20"/>
      <c r="J101" s="21"/>
      <c r="K101" s="22" t="str">
        <f aca="false">IF(B101="","",I101-H101)</f>
        <v/>
      </c>
      <c r="L101" s="23" t="str">
        <f aca="false">IF(B101="","",IF(H101=0,"",K101/H101))</f>
        <v/>
      </c>
      <c r="M101" s="7" t="str">
        <f aca="false">IF(B101="","",IF(J101&lt;=設定!$C$6,IF(L101&gt;=設定!$C$7,"I(コア)","II(回転)"),IF(L101&gt;=設定!$C$7,"III(厳選)","IV(見送り)")))</f>
        <v/>
      </c>
      <c r="N101" s="7" t="str">
        <f aca="false">IF(B101="","",IF(OR(M101="I(コア)",M101="II(回転)"),"仕入れ候補",IF(M101="III(厳選)","厳選検討（少数）","見送り")))</f>
        <v/>
      </c>
      <c r="O101" s="18"/>
    </row>
    <row r="102" customFormat="false" ht="15" hidden="false" customHeight="false" outlineLevel="0" collapsed="false">
      <c r="A102" s="16" t="str">
        <f aca="false">IF(B102="","",ROW()-12)</f>
        <v/>
      </c>
      <c r="B102" s="18"/>
      <c r="C102" s="18"/>
      <c r="D102" s="19"/>
      <c r="E102" s="18"/>
      <c r="F102" s="18"/>
      <c r="G102" s="20"/>
      <c r="H102" s="20"/>
      <c r="I102" s="20"/>
      <c r="J102" s="21"/>
      <c r="K102" s="22" t="str">
        <f aca="false">IF(B102="","",I102-H102)</f>
        <v/>
      </c>
      <c r="L102" s="23" t="str">
        <f aca="false">IF(B102="","",IF(H102=0,"",K102/H102))</f>
        <v/>
      </c>
      <c r="M102" s="7" t="str">
        <f aca="false">IF(B102="","",IF(J102&lt;=設定!$C$6,IF(L102&gt;=設定!$C$7,"I(コア)","II(回転)"),IF(L102&gt;=設定!$C$7,"III(厳選)","IV(見送り)")))</f>
        <v/>
      </c>
      <c r="N102" s="7" t="str">
        <f aca="false">IF(B102="","",IF(OR(M102="I(コア)",M102="II(回転)"),"仕入れ候補",IF(M102="III(厳選)","厳選検討（少数）","見送り")))</f>
        <v/>
      </c>
      <c r="O102" s="18"/>
    </row>
    <row r="103" customFormat="false" ht="15" hidden="false" customHeight="false" outlineLevel="0" collapsed="false">
      <c r="A103" s="16" t="str">
        <f aca="false">IF(B103="","",ROW()-12)</f>
        <v/>
      </c>
      <c r="B103" s="18"/>
      <c r="C103" s="18"/>
      <c r="D103" s="19"/>
      <c r="E103" s="18"/>
      <c r="F103" s="18"/>
      <c r="G103" s="20"/>
      <c r="H103" s="20"/>
      <c r="I103" s="20"/>
      <c r="J103" s="21"/>
      <c r="K103" s="22" t="str">
        <f aca="false">IF(B103="","",I103-H103)</f>
        <v/>
      </c>
      <c r="L103" s="23" t="str">
        <f aca="false">IF(B103="","",IF(H103=0,"",K103/H103))</f>
        <v/>
      </c>
      <c r="M103" s="7" t="str">
        <f aca="false">IF(B103="","",IF(J103&lt;=設定!$C$6,IF(L103&gt;=設定!$C$7,"I(コア)","II(回転)"),IF(L103&gt;=設定!$C$7,"III(厳選)","IV(見送り)")))</f>
        <v/>
      </c>
      <c r="N103" s="7" t="str">
        <f aca="false">IF(B103="","",IF(OR(M103="I(コア)",M103="II(回転)"),"仕入れ候補",IF(M103="III(厳選)","厳選検討（少数）","見送り")))</f>
        <v/>
      </c>
      <c r="O103" s="18"/>
    </row>
    <row r="104" customFormat="false" ht="15" hidden="false" customHeight="false" outlineLevel="0" collapsed="false">
      <c r="A104" s="16" t="str">
        <f aca="false">IF(B104="","",ROW()-12)</f>
        <v/>
      </c>
      <c r="B104" s="18"/>
      <c r="C104" s="18"/>
      <c r="D104" s="19"/>
      <c r="E104" s="18"/>
      <c r="F104" s="18"/>
      <c r="G104" s="20"/>
      <c r="H104" s="20"/>
      <c r="I104" s="20"/>
      <c r="J104" s="21"/>
      <c r="K104" s="22" t="str">
        <f aca="false">IF(B104="","",I104-H104)</f>
        <v/>
      </c>
      <c r="L104" s="23" t="str">
        <f aca="false">IF(B104="","",IF(H104=0,"",K104/H104))</f>
        <v/>
      </c>
      <c r="M104" s="7" t="str">
        <f aca="false">IF(B104="","",IF(J104&lt;=設定!$C$6,IF(L104&gt;=設定!$C$7,"I(コア)","II(回転)"),IF(L104&gt;=設定!$C$7,"III(厳選)","IV(見送り)")))</f>
        <v/>
      </c>
      <c r="N104" s="7" t="str">
        <f aca="false">IF(B104="","",IF(OR(M104="I(コア)",M104="II(回転)"),"仕入れ候補",IF(M104="III(厳選)","厳選検討（少数）","見送り")))</f>
        <v/>
      </c>
      <c r="O104" s="18"/>
    </row>
    <row r="105" customFormat="false" ht="15" hidden="false" customHeight="false" outlineLevel="0" collapsed="false">
      <c r="A105" s="16" t="str">
        <f aca="false">IF(B105="","",ROW()-12)</f>
        <v/>
      </c>
      <c r="B105" s="18"/>
      <c r="C105" s="18"/>
      <c r="D105" s="19"/>
      <c r="E105" s="18"/>
      <c r="F105" s="18"/>
      <c r="G105" s="20"/>
      <c r="H105" s="20"/>
      <c r="I105" s="20"/>
      <c r="J105" s="21"/>
      <c r="K105" s="22" t="str">
        <f aca="false">IF(B105="","",I105-H105)</f>
        <v/>
      </c>
      <c r="L105" s="23" t="str">
        <f aca="false">IF(B105="","",IF(H105=0,"",K105/H105))</f>
        <v/>
      </c>
      <c r="M105" s="7" t="str">
        <f aca="false">IF(B105="","",IF(J105&lt;=設定!$C$6,IF(L105&gt;=設定!$C$7,"I(コア)","II(回転)"),IF(L105&gt;=設定!$C$7,"III(厳選)","IV(見送り)")))</f>
        <v/>
      </c>
      <c r="N105" s="7" t="str">
        <f aca="false">IF(B105="","",IF(OR(M105="I(コア)",M105="II(回転)"),"仕入れ候補",IF(M105="III(厳選)","厳選検討（少数）","見送り")))</f>
        <v/>
      </c>
      <c r="O105" s="18"/>
    </row>
    <row r="106" customFormat="false" ht="15" hidden="false" customHeight="false" outlineLevel="0" collapsed="false">
      <c r="A106" s="16" t="str">
        <f aca="false">IF(B106="","",ROW()-12)</f>
        <v/>
      </c>
      <c r="B106" s="18"/>
      <c r="C106" s="18"/>
      <c r="D106" s="19"/>
      <c r="E106" s="18"/>
      <c r="F106" s="18"/>
      <c r="G106" s="20"/>
      <c r="H106" s="20"/>
      <c r="I106" s="20"/>
      <c r="J106" s="21"/>
      <c r="K106" s="22" t="str">
        <f aca="false">IF(B106="","",I106-H106)</f>
        <v/>
      </c>
      <c r="L106" s="23" t="str">
        <f aca="false">IF(B106="","",IF(H106=0,"",K106/H106))</f>
        <v/>
      </c>
      <c r="M106" s="7" t="str">
        <f aca="false">IF(B106="","",IF(J106&lt;=設定!$C$6,IF(L106&gt;=設定!$C$7,"I(コア)","II(回転)"),IF(L106&gt;=設定!$C$7,"III(厳選)","IV(見送り)")))</f>
        <v/>
      </c>
      <c r="N106" s="7" t="str">
        <f aca="false">IF(B106="","",IF(OR(M106="I(コア)",M106="II(回転)"),"仕入れ候補",IF(M106="III(厳選)","厳選検討（少数）","見送り")))</f>
        <v/>
      </c>
      <c r="O106" s="18"/>
    </row>
    <row r="107" customFormat="false" ht="15" hidden="false" customHeight="false" outlineLevel="0" collapsed="false">
      <c r="A107" s="16" t="str">
        <f aca="false">IF(B107="","",ROW()-12)</f>
        <v/>
      </c>
      <c r="B107" s="18"/>
      <c r="C107" s="18"/>
      <c r="D107" s="19"/>
      <c r="E107" s="18"/>
      <c r="F107" s="18"/>
      <c r="G107" s="20"/>
      <c r="H107" s="20"/>
      <c r="I107" s="20"/>
      <c r="J107" s="21"/>
      <c r="K107" s="22" t="str">
        <f aca="false">IF(B107="","",I107-H107)</f>
        <v/>
      </c>
      <c r="L107" s="23" t="str">
        <f aca="false">IF(B107="","",IF(H107=0,"",K107/H107))</f>
        <v/>
      </c>
      <c r="M107" s="7" t="str">
        <f aca="false">IF(B107="","",IF(J107&lt;=設定!$C$6,IF(L107&gt;=設定!$C$7,"I(コア)","II(回転)"),IF(L107&gt;=設定!$C$7,"III(厳選)","IV(見送り)")))</f>
        <v/>
      </c>
      <c r="N107" s="7" t="str">
        <f aca="false">IF(B107="","",IF(OR(M107="I(コア)",M107="II(回転)"),"仕入れ候補",IF(M107="III(厳選)","厳選検討（少数）","見送り")))</f>
        <v/>
      </c>
      <c r="O107" s="18"/>
    </row>
    <row r="108" customFormat="false" ht="15" hidden="false" customHeight="false" outlineLevel="0" collapsed="false">
      <c r="A108" s="16" t="str">
        <f aca="false">IF(B108="","",ROW()-12)</f>
        <v/>
      </c>
      <c r="B108" s="18"/>
      <c r="C108" s="18"/>
      <c r="D108" s="19"/>
      <c r="E108" s="18"/>
      <c r="F108" s="18"/>
      <c r="G108" s="20"/>
      <c r="H108" s="20"/>
      <c r="I108" s="20"/>
      <c r="J108" s="21"/>
      <c r="K108" s="22" t="str">
        <f aca="false">IF(B108="","",I108-H108)</f>
        <v/>
      </c>
      <c r="L108" s="23" t="str">
        <f aca="false">IF(B108="","",IF(H108=0,"",K108/H108))</f>
        <v/>
      </c>
      <c r="M108" s="7" t="str">
        <f aca="false">IF(B108="","",IF(J108&lt;=設定!$C$6,IF(L108&gt;=設定!$C$7,"I(コア)","II(回転)"),IF(L108&gt;=設定!$C$7,"III(厳選)","IV(見送り)")))</f>
        <v/>
      </c>
      <c r="N108" s="7" t="str">
        <f aca="false">IF(B108="","",IF(OR(M108="I(コア)",M108="II(回転)"),"仕入れ候補",IF(M108="III(厳選)","厳選検討（少数）","見送り")))</f>
        <v/>
      </c>
      <c r="O108" s="18"/>
    </row>
    <row r="109" customFormat="false" ht="15" hidden="false" customHeight="false" outlineLevel="0" collapsed="false">
      <c r="A109" s="16" t="str">
        <f aca="false">IF(B109="","",ROW()-12)</f>
        <v/>
      </c>
      <c r="B109" s="18"/>
      <c r="C109" s="18"/>
      <c r="D109" s="19"/>
      <c r="E109" s="18"/>
      <c r="F109" s="18"/>
      <c r="G109" s="20"/>
      <c r="H109" s="20"/>
      <c r="I109" s="20"/>
      <c r="J109" s="21"/>
      <c r="K109" s="22" t="str">
        <f aca="false">IF(B109="","",I109-H109)</f>
        <v/>
      </c>
      <c r="L109" s="23" t="str">
        <f aca="false">IF(B109="","",IF(H109=0,"",K109/H109))</f>
        <v/>
      </c>
      <c r="M109" s="7" t="str">
        <f aca="false">IF(B109="","",IF(J109&lt;=設定!$C$6,IF(L109&gt;=設定!$C$7,"I(コア)","II(回転)"),IF(L109&gt;=設定!$C$7,"III(厳選)","IV(見送り)")))</f>
        <v/>
      </c>
      <c r="N109" s="7" t="str">
        <f aca="false">IF(B109="","",IF(OR(M109="I(コア)",M109="II(回転)"),"仕入れ候補",IF(M109="III(厳選)","厳選検討（少数）","見送り")))</f>
        <v/>
      </c>
      <c r="O109" s="18"/>
    </row>
    <row r="110" customFormat="false" ht="15" hidden="false" customHeight="false" outlineLevel="0" collapsed="false">
      <c r="A110" s="16" t="str">
        <f aca="false">IF(B110="","",ROW()-12)</f>
        <v/>
      </c>
      <c r="B110" s="18"/>
      <c r="C110" s="18"/>
      <c r="D110" s="19"/>
      <c r="E110" s="18"/>
      <c r="F110" s="18"/>
      <c r="G110" s="20"/>
      <c r="H110" s="20"/>
      <c r="I110" s="20"/>
      <c r="J110" s="21"/>
      <c r="K110" s="22" t="str">
        <f aca="false">IF(B110="","",I110-H110)</f>
        <v/>
      </c>
      <c r="L110" s="23" t="str">
        <f aca="false">IF(B110="","",IF(H110=0,"",K110/H110))</f>
        <v/>
      </c>
      <c r="M110" s="7" t="str">
        <f aca="false">IF(B110="","",IF(J110&lt;=設定!$C$6,IF(L110&gt;=設定!$C$7,"I(コア)","II(回転)"),IF(L110&gt;=設定!$C$7,"III(厳選)","IV(見送り)")))</f>
        <v/>
      </c>
      <c r="N110" s="7" t="str">
        <f aca="false">IF(B110="","",IF(OR(M110="I(コア)",M110="II(回転)"),"仕入れ候補",IF(M110="III(厳選)","厳選検討（少数）","見送り")))</f>
        <v/>
      </c>
      <c r="O110" s="18"/>
    </row>
    <row r="111" customFormat="false" ht="15" hidden="false" customHeight="false" outlineLevel="0" collapsed="false">
      <c r="A111" s="16" t="str">
        <f aca="false">IF(B111="","",ROW()-12)</f>
        <v/>
      </c>
      <c r="B111" s="18"/>
      <c r="C111" s="18"/>
      <c r="D111" s="19"/>
      <c r="E111" s="18"/>
      <c r="F111" s="18"/>
      <c r="G111" s="20"/>
      <c r="H111" s="20"/>
      <c r="I111" s="20"/>
      <c r="J111" s="21"/>
      <c r="K111" s="22" t="str">
        <f aca="false">IF(B111="","",I111-H111)</f>
        <v/>
      </c>
      <c r="L111" s="23" t="str">
        <f aca="false">IF(B111="","",IF(H111=0,"",K111/H111))</f>
        <v/>
      </c>
      <c r="M111" s="7" t="str">
        <f aca="false">IF(B111="","",IF(J111&lt;=設定!$C$6,IF(L111&gt;=設定!$C$7,"I(コア)","II(回転)"),IF(L111&gt;=設定!$C$7,"III(厳選)","IV(見送り)")))</f>
        <v/>
      </c>
      <c r="N111" s="7" t="str">
        <f aca="false">IF(B111="","",IF(OR(M111="I(コア)",M111="II(回転)"),"仕入れ候補",IF(M111="III(厳選)","厳選検討（少数）","見送り")))</f>
        <v/>
      </c>
      <c r="O111" s="18"/>
    </row>
    <row r="112" customFormat="false" ht="15" hidden="false" customHeight="false" outlineLevel="0" collapsed="false">
      <c r="A112" s="16" t="str">
        <f aca="false">IF(B112="","",ROW()-12)</f>
        <v/>
      </c>
      <c r="B112" s="18"/>
      <c r="C112" s="18"/>
      <c r="D112" s="19"/>
      <c r="E112" s="18"/>
      <c r="F112" s="18"/>
      <c r="G112" s="20"/>
      <c r="H112" s="20"/>
      <c r="I112" s="20"/>
      <c r="J112" s="21"/>
      <c r="K112" s="22" t="str">
        <f aca="false">IF(B112="","",I112-H112)</f>
        <v/>
      </c>
      <c r="L112" s="23" t="str">
        <f aca="false">IF(B112="","",IF(H112=0,"",K112/H112))</f>
        <v/>
      </c>
      <c r="M112" s="7" t="str">
        <f aca="false">IF(B112="","",IF(J112&lt;=設定!$C$6,IF(L112&gt;=設定!$C$7,"I(コア)","II(回転)"),IF(L112&gt;=設定!$C$7,"III(厳選)","IV(見送り)")))</f>
        <v/>
      </c>
      <c r="N112" s="7" t="str">
        <f aca="false">IF(B112="","",IF(OR(M112="I(コア)",M112="II(回転)"),"仕入れ候補",IF(M112="III(厳選)","厳選検討（少数）","見送り")))</f>
        <v/>
      </c>
      <c r="O112" s="18"/>
    </row>
  </sheetData>
  <dataValidations count="4">
    <dataValidation allowBlank="true" errorStyle="stop" operator="between" showDropDown="false" showErrorMessage="false" showInputMessage="false" sqref="C13:C112" type="list">
      <formula1>設定!$B$20:$B$25</formula1>
      <formula2>0</formula2>
    </dataValidation>
    <dataValidation allowBlank="true" errorStyle="stop" operator="between" showDropDown="false" showErrorMessage="false" showInputMessage="false" sqref="D13:D112" type="list">
      <formula1>設定!$B$29:$B$33</formula1>
      <formula2>0</formula2>
    </dataValidation>
    <dataValidation allowBlank="true" errorStyle="stop" operator="between" showDropDown="false" showErrorMessage="false" showInputMessage="false" sqref="E13:E112" type="list">
      <formula1>設定!$B$37:$B$39</formula1>
      <formula2>0</formula2>
    </dataValidation>
    <dataValidation allowBlank="true" errorStyle="stop" operator="between" showDropDown="false" showErrorMessage="false" showInputMessage="false" sqref="F13:F112" type="list">
      <formula1>設定!$B$43:$B$45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2:M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7" min="6" style="0" width="12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3" min="11" style="0" width="11"/>
  </cols>
  <sheetData>
    <row r="2" customFormat="false" ht="19.7" hidden="false" customHeight="false" outlineLevel="0" collapsed="false">
      <c r="B2" s="1" t="s">
        <v>114</v>
      </c>
    </row>
    <row r="3" customFormat="false" ht="15" hidden="false" customHeight="false" outlineLevel="0" collapsed="false">
      <c r="B3" s="2" t="s">
        <v>115</v>
      </c>
    </row>
    <row r="5" customFormat="false" ht="15" hidden="false" customHeight="false" outlineLevel="0" collapsed="false">
      <c r="B5" s="7" t="s">
        <v>116</v>
      </c>
      <c r="C5" s="24" t="n">
        <v>500000</v>
      </c>
    </row>
    <row r="7" customFormat="false" ht="28.35" hidden="false" customHeight="false" outlineLevel="0" collapsed="false">
      <c r="A7" s="10" t="s">
        <v>103</v>
      </c>
      <c r="B7" s="10" t="s">
        <v>117</v>
      </c>
      <c r="C7" s="10" t="s">
        <v>118</v>
      </c>
      <c r="D7" s="10" t="s">
        <v>119</v>
      </c>
      <c r="E7" s="10" t="s">
        <v>120</v>
      </c>
      <c r="F7" s="10" t="s">
        <v>121</v>
      </c>
      <c r="G7" s="10" t="s">
        <v>122</v>
      </c>
      <c r="H7" s="10" t="s">
        <v>123</v>
      </c>
      <c r="I7" s="10" t="s">
        <v>124</v>
      </c>
      <c r="J7" s="10" t="s">
        <v>125</v>
      </c>
      <c r="K7" s="10" t="s">
        <v>126</v>
      </c>
      <c r="L7" s="10" t="s">
        <v>127</v>
      </c>
      <c r="M7" s="10" t="s">
        <v>128</v>
      </c>
    </row>
    <row r="8" customFormat="false" ht="42" hidden="false" customHeight="true" outlineLevel="0" collapsed="false">
      <c r="A8" s="15" t="s">
        <v>37</v>
      </c>
      <c r="B8" s="15" t="s">
        <v>37</v>
      </c>
      <c r="C8" s="25" t="s">
        <v>129</v>
      </c>
      <c r="D8" s="25" t="s">
        <v>130</v>
      </c>
      <c r="E8" s="24" t="n">
        <v>50000</v>
      </c>
      <c r="F8" s="14" t="s">
        <v>131</v>
      </c>
      <c r="G8" s="13" t="s">
        <v>66</v>
      </c>
      <c r="H8" s="13" t="s">
        <v>132</v>
      </c>
      <c r="I8" s="9" t="n">
        <v>0.5</v>
      </c>
      <c r="J8" s="22" t="n">
        <f aca="false">$C$5*I8</f>
        <v>250000</v>
      </c>
      <c r="K8" s="26" t="n">
        <v>15</v>
      </c>
      <c r="L8" s="16" t="n">
        <f aca="false">COUNTIF(ウォッチリスト!$M$13:$M$112,"I(コア)")</f>
        <v>2</v>
      </c>
      <c r="M8" s="16" t="n">
        <f aca="false">COUNTIF(在庫管理!$R$11:$R$110,"I(コア)")</f>
        <v>1</v>
      </c>
    </row>
    <row r="9" customFormat="false" ht="42" hidden="false" customHeight="true" outlineLevel="0" collapsed="false">
      <c r="A9" s="15" t="s">
        <v>41</v>
      </c>
      <c r="B9" s="15" t="s">
        <v>41</v>
      </c>
      <c r="C9" s="25" t="s">
        <v>133</v>
      </c>
      <c r="D9" s="25" t="s">
        <v>134</v>
      </c>
      <c r="E9" s="24" t="n">
        <v>15000</v>
      </c>
      <c r="F9" s="14" t="s">
        <v>135</v>
      </c>
      <c r="G9" s="13" t="s">
        <v>136</v>
      </c>
      <c r="H9" s="13" t="s">
        <v>137</v>
      </c>
      <c r="I9" s="9" t="n">
        <v>0.3</v>
      </c>
      <c r="J9" s="22" t="n">
        <f aca="false">$C$5*I9</f>
        <v>150000</v>
      </c>
      <c r="K9" s="26" t="n">
        <v>40</v>
      </c>
      <c r="L9" s="16" t="n">
        <f aca="false">COUNTIF(ウォッチリスト!$M$13:$M$112,"II(回転)")</f>
        <v>1</v>
      </c>
      <c r="M9" s="16" t="n">
        <f aca="false">COUNTIF(在庫管理!$R$11:$R$110,"II(回転)")</f>
        <v>1</v>
      </c>
    </row>
    <row r="10" customFormat="false" ht="42" hidden="false" customHeight="true" outlineLevel="0" collapsed="false">
      <c r="A10" s="15" t="s">
        <v>44</v>
      </c>
      <c r="B10" s="15" t="s">
        <v>44</v>
      </c>
      <c r="C10" s="25" t="s">
        <v>138</v>
      </c>
      <c r="D10" s="25" t="s">
        <v>130</v>
      </c>
      <c r="E10" s="24" t="n">
        <v>80000</v>
      </c>
      <c r="F10" s="14" t="s">
        <v>59</v>
      </c>
      <c r="G10" s="13" t="s">
        <v>136</v>
      </c>
      <c r="H10" s="13" t="s">
        <v>73</v>
      </c>
      <c r="I10" s="9" t="n">
        <v>0.15</v>
      </c>
      <c r="J10" s="22" t="n">
        <f aca="false">$C$5*I10</f>
        <v>75000</v>
      </c>
      <c r="K10" s="26" t="n">
        <v>5</v>
      </c>
      <c r="L10" s="16" t="n">
        <f aca="false">COUNTIF(ウォッチリスト!$M$13:$M$112,"III(厳選)")</f>
        <v>2</v>
      </c>
      <c r="M10" s="16" t="n">
        <f aca="false">COUNTIF(在庫管理!$R$11:$R$110,"III(厳選)")</f>
        <v>1</v>
      </c>
    </row>
    <row r="11" customFormat="false" ht="42" hidden="false" customHeight="true" outlineLevel="0" collapsed="false">
      <c r="A11" s="15" t="s">
        <v>47</v>
      </c>
      <c r="B11" s="15" t="s">
        <v>47</v>
      </c>
      <c r="C11" s="25" t="s">
        <v>139</v>
      </c>
      <c r="D11" s="27" t="s">
        <v>140</v>
      </c>
      <c r="E11" s="24" t="n">
        <v>0</v>
      </c>
      <c r="F11" s="14" t="s">
        <v>140</v>
      </c>
      <c r="G11" s="13" t="s">
        <v>68</v>
      </c>
      <c r="H11" s="13" t="s">
        <v>71</v>
      </c>
      <c r="I11" s="9" t="n">
        <v>0.05</v>
      </c>
      <c r="J11" s="22" t="n">
        <f aca="false">$C$5*I11</f>
        <v>25000</v>
      </c>
      <c r="K11" s="26" t="n">
        <v>0</v>
      </c>
      <c r="L11" s="16" t="n">
        <f aca="false">COUNTIF(ウォッチリスト!$M$13:$M$112,"IV(見送り)")</f>
        <v>1</v>
      </c>
      <c r="M11" s="16" t="n">
        <f aca="false">COUNTIF(在庫管理!$R$11:$R$110,"IV(見送り)")</f>
        <v>2</v>
      </c>
    </row>
    <row r="12" customFormat="false" ht="15" hidden="false" customHeight="false" outlineLevel="0" collapsed="false">
      <c r="B12" s="28" t="s">
        <v>141</v>
      </c>
      <c r="I12" s="29" t="n">
        <f aca="false">SUM(I8:I11)</f>
        <v>1</v>
      </c>
      <c r="J12" s="30" t="n">
        <f aca="false">SUM(J8:J11)</f>
        <v>500000</v>
      </c>
    </row>
    <row r="14" customFormat="false" ht="15" hidden="false" customHeight="false" outlineLevel="0" collapsed="false">
      <c r="B14" s="2" t="s">
        <v>142</v>
      </c>
    </row>
    <row r="15" customFormat="false" ht="15" hidden="false" customHeight="false" outlineLevel="0" collapsed="false">
      <c r="B15" s="2" t="s">
        <v>143</v>
      </c>
    </row>
  </sheetData>
  <conditionalFormatting sqref="I12">
    <cfRule type="cellIs" priority="2" operator="not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true"/>
  </sheetPr>
  <dimension ref="A2:T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7" min="6" style="0" width="8"/>
    <col collapsed="false" customWidth="true" hidden="false" outlineLevel="0" max="9" min="8" style="0" width="9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8" min="15" style="0" width="11"/>
    <col collapsed="false" customWidth="true" hidden="false" outlineLevel="0" max="19" min="19" style="0" width="12"/>
    <col collapsed="false" customWidth="true" hidden="false" outlineLevel="0" max="20" min="20" style="0" width="22"/>
  </cols>
  <sheetData>
    <row r="2" customFormat="false" ht="19.7" hidden="false" customHeight="false" outlineLevel="0" collapsed="false">
      <c r="B2" s="1" t="s">
        <v>144</v>
      </c>
    </row>
    <row r="3" customFormat="false" ht="15" hidden="false" customHeight="false" outlineLevel="0" collapsed="false">
      <c r="B3" s="2" t="s">
        <v>145</v>
      </c>
    </row>
    <row r="5" customFormat="false" ht="15" hidden="false" customHeight="false" outlineLevel="0" collapsed="false">
      <c r="B5" s="7" t="s">
        <v>146</v>
      </c>
      <c r="C5" s="22" t="n">
        <f aca="false">SUMIFS(M11:M110,K11:K110,"在庫中")</f>
        <v>78000</v>
      </c>
    </row>
    <row r="6" customFormat="false" ht="15" hidden="false" customHeight="false" outlineLevel="0" collapsed="false">
      <c r="B6" s="7" t="s">
        <v>147</v>
      </c>
      <c r="C6" s="22" t="n">
        <f aca="false">SUMIFS(N11:N110,K11:K110,"在庫中")</f>
        <v>98500</v>
      </c>
    </row>
    <row r="7" customFormat="false" ht="15" hidden="false" customHeight="false" outlineLevel="0" collapsed="false">
      <c r="B7" s="7" t="s">
        <v>148</v>
      </c>
      <c r="C7" s="22" t="n">
        <f aca="false">C6-C5</f>
        <v>20500</v>
      </c>
    </row>
    <row r="8" customFormat="false" ht="15" hidden="false" customHeight="false" outlineLevel="0" collapsed="false">
      <c r="B8" s="7" t="s">
        <v>149</v>
      </c>
      <c r="C8" s="23" t="n">
        <f aca="false">IFERROR(C7/C5,"")</f>
        <v>0.262820512820513</v>
      </c>
    </row>
    <row r="9" customFormat="false" ht="15" hidden="false" customHeight="false" outlineLevel="0" collapsed="false">
      <c r="B9" s="7" t="s">
        <v>150</v>
      </c>
      <c r="C9" s="16" t="n">
        <f aca="false">COUNTIF(K11:K110,"在庫中")</f>
        <v>3</v>
      </c>
    </row>
    <row r="10" customFormat="false" ht="41.75" hidden="false" customHeight="false" outlineLevel="0" collapsed="false">
      <c r="A10" s="17" t="s">
        <v>95</v>
      </c>
      <c r="B10" s="10" t="s">
        <v>151</v>
      </c>
      <c r="C10" s="10" t="s">
        <v>50</v>
      </c>
      <c r="D10" s="10" t="s">
        <v>152</v>
      </c>
      <c r="E10" s="10" t="s">
        <v>153</v>
      </c>
      <c r="F10" s="10" t="s">
        <v>154</v>
      </c>
      <c r="G10" s="10" t="s">
        <v>155</v>
      </c>
      <c r="H10" s="10" t="s">
        <v>58</v>
      </c>
      <c r="I10" s="10" t="s">
        <v>65</v>
      </c>
      <c r="J10" s="10" t="s">
        <v>70</v>
      </c>
      <c r="K10" s="10" t="s">
        <v>75</v>
      </c>
      <c r="L10" s="10" t="s">
        <v>156</v>
      </c>
      <c r="M10" s="10" t="s">
        <v>157</v>
      </c>
      <c r="N10" s="10" t="s">
        <v>158</v>
      </c>
      <c r="O10" s="10" t="s">
        <v>100</v>
      </c>
      <c r="P10" s="10" t="s">
        <v>101</v>
      </c>
      <c r="Q10" s="10" t="s">
        <v>102</v>
      </c>
      <c r="R10" s="10" t="s">
        <v>103</v>
      </c>
      <c r="S10" s="10" t="s">
        <v>159</v>
      </c>
      <c r="T10" s="10" t="s">
        <v>105</v>
      </c>
    </row>
    <row r="11" customFormat="false" ht="15" hidden="false" customHeight="false" outlineLevel="0" collapsed="false">
      <c r="A11" s="16" t="n">
        <f aca="false">IF(B11="","",ROW()-10)</f>
        <v>1</v>
      </c>
      <c r="B11" s="18" t="s">
        <v>106</v>
      </c>
      <c r="C11" s="18" t="s">
        <v>51</v>
      </c>
      <c r="D11" s="18" t="s">
        <v>81</v>
      </c>
      <c r="E11" s="18" t="s">
        <v>86</v>
      </c>
      <c r="F11" s="19" t="s">
        <v>160</v>
      </c>
      <c r="G11" s="19" t="s">
        <v>160</v>
      </c>
      <c r="H11" s="19" t="s">
        <v>59</v>
      </c>
      <c r="I11" s="18" t="s">
        <v>66</v>
      </c>
      <c r="J11" s="18" t="s">
        <v>73</v>
      </c>
      <c r="K11" s="18" t="s">
        <v>76</v>
      </c>
      <c r="L11" s="31" t="s">
        <v>161</v>
      </c>
      <c r="M11" s="20" t="n">
        <v>24000</v>
      </c>
      <c r="N11" s="20" t="n">
        <v>31000</v>
      </c>
      <c r="O11" s="21" t="n">
        <v>18</v>
      </c>
      <c r="P11" s="22" t="n">
        <f aca="false">IF(B11="","",N11-M11)</f>
        <v>7000</v>
      </c>
      <c r="Q11" s="23" t="n">
        <f aca="false">IF(B11="","",IF(M11=0,"",P11/M11))</f>
        <v>0.291666666666667</v>
      </c>
      <c r="R11" s="7" t="str">
        <f aca="false">IF(B11="","",IF(O11&lt;=設定!$C$6,IF(Q11&gt;=設定!$C$7,"I(コア)","II(回転)"),IF(Q11&gt;=設定!$C$7,"III(厳選)","IV(見送り)")))</f>
        <v>I(コア)</v>
      </c>
      <c r="S11" s="23" t="n">
        <f aca="false">IF(B11="","",IF(K11="在庫中",IF($C$6=0,"",N11/$C$6),""))</f>
        <v>0.314720812182741</v>
      </c>
      <c r="T11" s="18"/>
    </row>
    <row r="12" customFormat="false" ht="15" hidden="false" customHeight="false" outlineLevel="0" collapsed="false">
      <c r="A12" s="16" t="n">
        <f aca="false">IF(B12="","",ROW()-10)</f>
        <v>2</v>
      </c>
      <c r="B12" s="18" t="s">
        <v>107</v>
      </c>
      <c r="C12" s="18" t="s">
        <v>52</v>
      </c>
      <c r="D12" s="18" t="s">
        <v>82</v>
      </c>
      <c r="E12" s="18"/>
      <c r="F12" s="19" t="s">
        <v>160</v>
      </c>
      <c r="G12" s="19" t="s">
        <v>160</v>
      </c>
      <c r="H12" s="19" t="s">
        <v>60</v>
      </c>
      <c r="I12" s="18" t="s">
        <v>66</v>
      </c>
      <c r="J12" s="18" t="s">
        <v>72</v>
      </c>
      <c r="K12" s="18" t="s">
        <v>76</v>
      </c>
      <c r="L12" s="31" t="s">
        <v>162</v>
      </c>
      <c r="M12" s="20" t="n">
        <v>16000</v>
      </c>
      <c r="N12" s="20" t="n">
        <v>18500</v>
      </c>
      <c r="O12" s="21" t="n">
        <v>12</v>
      </c>
      <c r="P12" s="22" t="n">
        <f aca="false">IF(B12="","",N12-M12)</f>
        <v>2500</v>
      </c>
      <c r="Q12" s="23" t="n">
        <f aca="false">IF(B12="","",IF(M12=0,"",P12/M12))</f>
        <v>0.15625</v>
      </c>
      <c r="R12" s="7" t="str">
        <f aca="false">IF(B12="","",IF(O12&lt;=設定!$C$6,IF(Q12&gt;=設定!$C$7,"I(コア)","II(回転)"),IF(Q12&gt;=設定!$C$7,"III(厳選)","IV(見送り)")))</f>
        <v>II(回転)</v>
      </c>
      <c r="S12" s="23" t="n">
        <f aca="false">IF(B12="","",IF(K12="在庫中",IF($C$6=0,"",N12/$C$6),""))</f>
        <v>0.187817258883249</v>
      </c>
      <c r="T12" s="18"/>
    </row>
    <row r="13" customFormat="false" ht="15" hidden="false" customHeight="false" outlineLevel="0" collapsed="false">
      <c r="A13" s="16" t="n">
        <f aca="false">IF(B13="","",ROW()-10)</f>
        <v>3</v>
      </c>
      <c r="B13" s="18" t="s">
        <v>108</v>
      </c>
      <c r="C13" s="18" t="s">
        <v>53</v>
      </c>
      <c r="D13" s="18" t="s">
        <v>83</v>
      </c>
      <c r="E13" s="18"/>
      <c r="F13" s="19" t="s">
        <v>163</v>
      </c>
      <c r="G13" s="19" t="s">
        <v>160</v>
      </c>
      <c r="H13" s="19" t="s">
        <v>59</v>
      </c>
      <c r="I13" s="18" t="s">
        <v>67</v>
      </c>
      <c r="J13" s="18" t="s">
        <v>73</v>
      </c>
      <c r="K13" s="18" t="s">
        <v>76</v>
      </c>
      <c r="L13" s="31" t="s">
        <v>164</v>
      </c>
      <c r="M13" s="20" t="n">
        <v>38000</v>
      </c>
      <c r="N13" s="20" t="n">
        <v>49000</v>
      </c>
      <c r="O13" s="21" t="n">
        <v>55</v>
      </c>
      <c r="P13" s="22" t="n">
        <f aca="false">IF(B13="","",N13-M13)</f>
        <v>11000</v>
      </c>
      <c r="Q13" s="23" t="n">
        <f aca="false">IF(B13="","",IF(M13=0,"",P13/M13))</f>
        <v>0.289473684210526</v>
      </c>
      <c r="R13" s="7" t="str">
        <f aca="false">IF(B13="","",IF(O13&lt;=設定!$C$6,IF(Q13&gt;=設定!$C$7,"I(コア)","II(回転)"),IF(Q13&gt;=設定!$C$7,"III(厳選)","IV(見送り)")))</f>
        <v>III(厳選)</v>
      </c>
      <c r="S13" s="23" t="n">
        <f aca="false">IF(B13="","",IF(K13="在庫中",IF($C$6=0,"",N13/$C$6),""))</f>
        <v>0.49746192893401</v>
      </c>
      <c r="T13" s="18" t="s">
        <v>109</v>
      </c>
    </row>
    <row r="14" customFormat="false" ht="15" hidden="false" customHeight="false" outlineLevel="0" collapsed="false">
      <c r="A14" s="16" t="n">
        <f aca="false">IF(B14="","",ROW()-10)</f>
        <v>4</v>
      </c>
      <c r="B14" s="18" t="s">
        <v>110</v>
      </c>
      <c r="C14" s="18" t="s">
        <v>51</v>
      </c>
      <c r="D14" s="18" t="s">
        <v>165</v>
      </c>
      <c r="E14" s="18" t="s">
        <v>87</v>
      </c>
      <c r="F14" s="19" t="s">
        <v>160</v>
      </c>
      <c r="G14" s="19" t="s">
        <v>163</v>
      </c>
      <c r="H14" s="19" t="s">
        <v>61</v>
      </c>
      <c r="I14" s="18" t="s">
        <v>67</v>
      </c>
      <c r="J14" s="18" t="s">
        <v>72</v>
      </c>
      <c r="K14" s="18" t="s">
        <v>77</v>
      </c>
      <c r="L14" s="31" t="s">
        <v>166</v>
      </c>
      <c r="M14" s="20" t="n">
        <v>7000</v>
      </c>
      <c r="N14" s="20" t="n">
        <v>8300</v>
      </c>
      <c r="O14" s="21" t="n">
        <v>40</v>
      </c>
      <c r="P14" s="22" t="n">
        <f aca="false">IF(B14="","",N14-M14)</f>
        <v>1300</v>
      </c>
      <c r="Q14" s="23" t="n">
        <f aca="false">IF(B14="","",IF(M14=0,"",P14/M14))</f>
        <v>0.185714285714286</v>
      </c>
      <c r="R14" s="7" t="str">
        <f aca="false">IF(B14="","",IF(O14&lt;=設定!$C$6,IF(Q14&gt;=設定!$C$7,"I(コア)","II(回転)"),IF(Q14&gt;=設定!$C$7,"III(厳選)","IV(見送り)")))</f>
        <v>IV(見送り)</v>
      </c>
      <c r="S14" s="23" t="str">
        <f aca="false">IF(B14="","",IF(K14="在庫中",IF($C$6=0,"",N14/$C$6),""))</f>
        <v/>
      </c>
      <c r="T14" s="18" t="s">
        <v>111</v>
      </c>
    </row>
    <row r="15" customFormat="false" ht="15" hidden="false" customHeight="false" outlineLevel="0" collapsed="false">
      <c r="A15" s="16" t="n">
        <f aca="false">IF(B15="","",ROW()-10)</f>
        <v>5</v>
      </c>
      <c r="B15" s="18" t="s">
        <v>113</v>
      </c>
      <c r="C15" s="18" t="s">
        <v>53</v>
      </c>
      <c r="D15" s="18"/>
      <c r="E15" s="18"/>
      <c r="F15" s="19" t="s">
        <v>160</v>
      </c>
      <c r="G15" s="19" t="s">
        <v>160</v>
      </c>
      <c r="H15" s="19" t="s">
        <v>63</v>
      </c>
      <c r="I15" s="18" t="s">
        <v>68</v>
      </c>
      <c r="J15" s="18" t="s">
        <v>71</v>
      </c>
      <c r="K15" s="18" t="s">
        <v>78</v>
      </c>
      <c r="L15" s="31" t="s">
        <v>167</v>
      </c>
      <c r="M15" s="20" t="n">
        <v>2800</v>
      </c>
      <c r="N15" s="20" t="n">
        <v>2900</v>
      </c>
      <c r="O15" s="21" t="n">
        <v>90</v>
      </c>
      <c r="P15" s="22" t="n">
        <f aca="false">IF(B15="","",N15-M15)</f>
        <v>100</v>
      </c>
      <c r="Q15" s="23" t="n">
        <f aca="false">IF(B15="","",IF(M15=0,"",P15/M15))</f>
        <v>0.0357142857142857</v>
      </c>
      <c r="R15" s="7" t="str">
        <f aca="false">IF(B15="","",IF(O15&lt;=設定!$C$6,IF(Q15&gt;=設定!$C$7,"I(コア)","II(回転)"),IF(Q15&gt;=設定!$C$7,"III(厳選)","IV(見送り)")))</f>
        <v>IV(見送り)</v>
      </c>
      <c r="S15" s="23" t="str">
        <f aca="false">IF(B15="","",IF(K15="在庫中",IF($C$6=0,"",N15/$C$6),""))</f>
        <v/>
      </c>
      <c r="T15" s="18"/>
    </row>
    <row r="16" customFormat="false" ht="15" hidden="false" customHeight="false" outlineLevel="0" collapsed="false">
      <c r="A16" s="16" t="str">
        <f aca="false">IF(B16="","",ROW()-10)</f>
        <v/>
      </c>
      <c r="B16" s="18"/>
      <c r="C16" s="18"/>
      <c r="D16" s="18"/>
      <c r="E16" s="18"/>
      <c r="F16" s="19"/>
      <c r="G16" s="19"/>
      <c r="H16" s="19"/>
      <c r="I16" s="18"/>
      <c r="J16" s="18"/>
      <c r="K16" s="18"/>
      <c r="L16" s="31"/>
      <c r="M16" s="20"/>
      <c r="N16" s="20"/>
      <c r="O16" s="21"/>
      <c r="P16" s="22" t="str">
        <f aca="false">IF(B16="","",N16-M16)</f>
        <v/>
      </c>
      <c r="Q16" s="23" t="str">
        <f aca="false">IF(B16="","",IF(M16=0,"",P16/M16))</f>
        <v/>
      </c>
      <c r="R16" s="7" t="str">
        <f aca="false">IF(B16="","",IF(O16&lt;=設定!$C$6,IF(Q16&gt;=設定!$C$7,"I(コア)","II(回転)"),IF(Q16&gt;=設定!$C$7,"III(厳選)","IV(見送り)")))</f>
        <v/>
      </c>
      <c r="S16" s="23" t="str">
        <f aca="false">IF(B16="","",IF(K16="在庫中",IF($C$6=0,"",N16/$C$6),""))</f>
        <v/>
      </c>
      <c r="T16" s="18"/>
    </row>
    <row r="17" customFormat="false" ht="15" hidden="false" customHeight="false" outlineLevel="0" collapsed="false">
      <c r="A17" s="16" t="str">
        <f aca="false">IF(B17="","",ROW()-10)</f>
        <v/>
      </c>
      <c r="B17" s="18"/>
      <c r="C17" s="18"/>
      <c r="D17" s="18"/>
      <c r="E17" s="18"/>
      <c r="F17" s="19"/>
      <c r="G17" s="19"/>
      <c r="H17" s="19"/>
      <c r="I17" s="18"/>
      <c r="J17" s="18"/>
      <c r="K17" s="18"/>
      <c r="L17" s="31"/>
      <c r="M17" s="20"/>
      <c r="N17" s="20"/>
      <c r="O17" s="21"/>
      <c r="P17" s="22" t="str">
        <f aca="false">IF(B17="","",N17-M17)</f>
        <v/>
      </c>
      <c r="Q17" s="23" t="str">
        <f aca="false">IF(B17="","",IF(M17=0,"",P17/M17))</f>
        <v/>
      </c>
      <c r="R17" s="7" t="str">
        <f aca="false">IF(B17="","",IF(O17&lt;=設定!$C$6,IF(Q17&gt;=設定!$C$7,"I(コア)","II(回転)"),IF(Q17&gt;=設定!$C$7,"III(厳選)","IV(見送り)")))</f>
        <v/>
      </c>
      <c r="S17" s="23" t="str">
        <f aca="false">IF(B17="","",IF(K17="在庫中",IF($C$6=0,"",N17/$C$6),""))</f>
        <v/>
      </c>
      <c r="T17" s="18"/>
    </row>
    <row r="18" customFormat="false" ht="15" hidden="false" customHeight="false" outlineLevel="0" collapsed="false">
      <c r="A18" s="16" t="str">
        <f aca="false">IF(B18="","",ROW()-10)</f>
        <v/>
      </c>
      <c r="B18" s="18"/>
      <c r="C18" s="18"/>
      <c r="D18" s="18"/>
      <c r="E18" s="18"/>
      <c r="F18" s="19"/>
      <c r="G18" s="19"/>
      <c r="H18" s="19"/>
      <c r="I18" s="18"/>
      <c r="J18" s="18"/>
      <c r="K18" s="18"/>
      <c r="L18" s="31"/>
      <c r="M18" s="20"/>
      <c r="N18" s="20"/>
      <c r="O18" s="21"/>
      <c r="P18" s="22" t="str">
        <f aca="false">IF(B18="","",N18-M18)</f>
        <v/>
      </c>
      <c r="Q18" s="23" t="str">
        <f aca="false">IF(B18="","",IF(M18=0,"",P18/M18))</f>
        <v/>
      </c>
      <c r="R18" s="7" t="str">
        <f aca="false">IF(B18="","",IF(O18&lt;=設定!$C$6,IF(Q18&gt;=設定!$C$7,"I(コア)","II(回転)"),IF(Q18&gt;=設定!$C$7,"III(厳選)","IV(見送り)")))</f>
        <v/>
      </c>
      <c r="S18" s="23" t="str">
        <f aca="false">IF(B18="","",IF(K18="在庫中",IF($C$6=0,"",N18/$C$6),""))</f>
        <v/>
      </c>
      <c r="T18" s="18"/>
    </row>
    <row r="19" customFormat="false" ht="15" hidden="false" customHeight="false" outlineLevel="0" collapsed="false">
      <c r="A19" s="16" t="str">
        <f aca="false">IF(B19="","",ROW()-10)</f>
        <v/>
      </c>
      <c r="B19" s="18"/>
      <c r="C19" s="18"/>
      <c r="D19" s="18"/>
      <c r="E19" s="18"/>
      <c r="F19" s="19"/>
      <c r="G19" s="19"/>
      <c r="H19" s="19"/>
      <c r="I19" s="18"/>
      <c r="J19" s="18"/>
      <c r="K19" s="18"/>
      <c r="L19" s="31"/>
      <c r="M19" s="20"/>
      <c r="N19" s="20"/>
      <c r="O19" s="21"/>
      <c r="P19" s="22" t="str">
        <f aca="false">IF(B19="","",N19-M19)</f>
        <v/>
      </c>
      <c r="Q19" s="23" t="str">
        <f aca="false">IF(B19="","",IF(M19=0,"",P19/M19))</f>
        <v/>
      </c>
      <c r="R19" s="7" t="str">
        <f aca="false">IF(B19="","",IF(O19&lt;=設定!$C$6,IF(Q19&gt;=設定!$C$7,"I(コア)","II(回転)"),IF(Q19&gt;=設定!$C$7,"III(厳選)","IV(見送り)")))</f>
        <v/>
      </c>
      <c r="S19" s="23" t="str">
        <f aca="false">IF(B19="","",IF(K19="在庫中",IF($C$6=0,"",N19/$C$6),""))</f>
        <v/>
      </c>
      <c r="T19" s="18"/>
    </row>
    <row r="20" customFormat="false" ht="15" hidden="false" customHeight="false" outlineLevel="0" collapsed="false">
      <c r="A20" s="16" t="str">
        <f aca="false">IF(B20="","",ROW()-10)</f>
        <v/>
      </c>
      <c r="B20" s="18"/>
      <c r="C20" s="18"/>
      <c r="D20" s="18"/>
      <c r="E20" s="18"/>
      <c r="F20" s="19"/>
      <c r="G20" s="19"/>
      <c r="H20" s="19"/>
      <c r="I20" s="18"/>
      <c r="J20" s="18"/>
      <c r="K20" s="18"/>
      <c r="L20" s="31"/>
      <c r="M20" s="20"/>
      <c r="N20" s="20"/>
      <c r="O20" s="21"/>
      <c r="P20" s="22" t="str">
        <f aca="false">IF(B20="","",N20-M20)</f>
        <v/>
      </c>
      <c r="Q20" s="23" t="str">
        <f aca="false">IF(B20="","",IF(M20=0,"",P20/M20))</f>
        <v/>
      </c>
      <c r="R20" s="7" t="str">
        <f aca="false">IF(B20="","",IF(O20&lt;=設定!$C$6,IF(Q20&gt;=設定!$C$7,"I(コア)","II(回転)"),IF(Q20&gt;=設定!$C$7,"III(厳選)","IV(見送り)")))</f>
        <v/>
      </c>
      <c r="S20" s="23" t="str">
        <f aca="false">IF(B20="","",IF(K20="在庫中",IF($C$6=0,"",N20/$C$6),""))</f>
        <v/>
      </c>
      <c r="T20" s="18"/>
    </row>
    <row r="21" customFormat="false" ht="15" hidden="false" customHeight="false" outlineLevel="0" collapsed="false">
      <c r="A21" s="16" t="str">
        <f aca="false">IF(B21="","",ROW()-10)</f>
        <v/>
      </c>
      <c r="B21" s="18"/>
      <c r="C21" s="18"/>
      <c r="D21" s="18"/>
      <c r="E21" s="18"/>
      <c r="F21" s="19"/>
      <c r="G21" s="19"/>
      <c r="H21" s="19"/>
      <c r="I21" s="18"/>
      <c r="J21" s="18"/>
      <c r="K21" s="18"/>
      <c r="L21" s="31"/>
      <c r="M21" s="20"/>
      <c r="N21" s="20"/>
      <c r="O21" s="21"/>
      <c r="P21" s="22" t="str">
        <f aca="false">IF(B21="","",N21-M21)</f>
        <v/>
      </c>
      <c r="Q21" s="23" t="str">
        <f aca="false">IF(B21="","",IF(M21=0,"",P21/M21))</f>
        <v/>
      </c>
      <c r="R21" s="7" t="str">
        <f aca="false">IF(B21="","",IF(O21&lt;=設定!$C$6,IF(Q21&gt;=設定!$C$7,"I(コア)","II(回転)"),IF(Q21&gt;=設定!$C$7,"III(厳選)","IV(見送り)")))</f>
        <v/>
      </c>
      <c r="S21" s="23" t="str">
        <f aca="false">IF(B21="","",IF(K21="在庫中",IF($C$6=0,"",N21/$C$6),""))</f>
        <v/>
      </c>
      <c r="T21" s="18"/>
    </row>
    <row r="22" customFormat="false" ht="15" hidden="false" customHeight="false" outlineLevel="0" collapsed="false">
      <c r="A22" s="16" t="str">
        <f aca="false">IF(B22="","",ROW()-10)</f>
        <v/>
      </c>
      <c r="B22" s="18"/>
      <c r="C22" s="18"/>
      <c r="D22" s="18"/>
      <c r="E22" s="18"/>
      <c r="F22" s="19"/>
      <c r="G22" s="19"/>
      <c r="H22" s="19"/>
      <c r="I22" s="18"/>
      <c r="J22" s="18"/>
      <c r="K22" s="18"/>
      <c r="L22" s="31"/>
      <c r="M22" s="20"/>
      <c r="N22" s="20"/>
      <c r="O22" s="21"/>
      <c r="P22" s="22" t="str">
        <f aca="false">IF(B22="","",N22-M22)</f>
        <v/>
      </c>
      <c r="Q22" s="23" t="str">
        <f aca="false">IF(B22="","",IF(M22=0,"",P22/M22))</f>
        <v/>
      </c>
      <c r="R22" s="7" t="str">
        <f aca="false">IF(B22="","",IF(O22&lt;=設定!$C$6,IF(Q22&gt;=設定!$C$7,"I(コア)","II(回転)"),IF(Q22&gt;=設定!$C$7,"III(厳選)","IV(見送り)")))</f>
        <v/>
      </c>
      <c r="S22" s="23" t="str">
        <f aca="false">IF(B22="","",IF(K22="在庫中",IF($C$6=0,"",N22/$C$6),""))</f>
        <v/>
      </c>
      <c r="T22" s="18"/>
    </row>
    <row r="23" customFormat="false" ht="15" hidden="false" customHeight="false" outlineLevel="0" collapsed="false">
      <c r="A23" s="16" t="str">
        <f aca="false">IF(B23="","",ROW()-10)</f>
        <v/>
      </c>
      <c r="B23" s="18"/>
      <c r="C23" s="18"/>
      <c r="D23" s="18"/>
      <c r="E23" s="18"/>
      <c r="F23" s="19"/>
      <c r="G23" s="19"/>
      <c r="H23" s="19"/>
      <c r="I23" s="18"/>
      <c r="J23" s="18"/>
      <c r="K23" s="18"/>
      <c r="L23" s="31"/>
      <c r="M23" s="20"/>
      <c r="N23" s="20"/>
      <c r="O23" s="21"/>
      <c r="P23" s="22" t="str">
        <f aca="false">IF(B23="","",N23-M23)</f>
        <v/>
      </c>
      <c r="Q23" s="23" t="str">
        <f aca="false">IF(B23="","",IF(M23=0,"",P23/M23))</f>
        <v/>
      </c>
      <c r="R23" s="7" t="str">
        <f aca="false">IF(B23="","",IF(O23&lt;=設定!$C$6,IF(Q23&gt;=設定!$C$7,"I(コア)","II(回転)"),IF(Q23&gt;=設定!$C$7,"III(厳選)","IV(見送り)")))</f>
        <v/>
      </c>
      <c r="S23" s="23" t="str">
        <f aca="false">IF(B23="","",IF(K23="在庫中",IF($C$6=0,"",N23/$C$6),""))</f>
        <v/>
      </c>
      <c r="T23" s="18"/>
    </row>
    <row r="24" customFormat="false" ht="15" hidden="false" customHeight="false" outlineLevel="0" collapsed="false">
      <c r="A24" s="16" t="str">
        <f aca="false">IF(B24="","",ROW()-10)</f>
        <v/>
      </c>
      <c r="B24" s="18"/>
      <c r="C24" s="18"/>
      <c r="D24" s="18"/>
      <c r="E24" s="18"/>
      <c r="F24" s="19"/>
      <c r="G24" s="19"/>
      <c r="H24" s="19"/>
      <c r="I24" s="18"/>
      <c r="J24" s="18"/>
      <c r="K24" s="18"/>
      <c r="L24" s="31"/>
      <c r="M24" s="20"/>
      <c r="N24" s="20"/>
      <c r="O24" s="21"/>
      <c r="P24" s="22" t="str">
        <f aca="false">IF(B24="","",N24-M24)</f>
        <v/>
      </c>
      <c r="Q24" s="23" t="str">
        <f aca="false">IF(B24="","",IF(M24=0,"",P24/M24))</f>
        <v/>
      </c>
      <c r="R24" s="7" t="str">
        <f aca="false">IF(B24="","",IF(O24&lt;=設定!$C$6,IF(Q24&gt;=設定!$C$7,"I(コア)","II(回転)"),IF(Q24&gt;=設定!$C$7,"III(厳選)","IV(見送り)")))</f>
        <v/>
      </c>
      <c r="S24" s="23" t="str">
        <f aca="false">IF(B24="","",IF(K24="在庫中",IF($C$6=0,"",N24/$C$6),""))</f>
        <v/>
      </c>
      <c r="T24" s="18"/>
    </row>
    <row r="25" customFormat="false" ht="15" hidden="false" customHeight="false" outlineLevel="0" collapsed="false">
      <c r="A25" s="16" t="str">
        <f aca="false">IF(B25="","",ROW()-10)</f>
        <v/>
      </c>
      <c r="B25" s="18"/>
      <c r="C25" s="18"/>
      <c r="D25" s="18"/>
      <c r="E25" s="18"/>
      <c r="F25" s="19"/>
      <c r="G25" s="19"/>
      <c r="H25" s="19"/>
      <c r="I25" s="18"/>
      <c r="J25" s="18"/>
      <c r="K25" s="18"/>
      <c r="L25" s="31"/>
      <c r="M25" s="20"/>
      <c r="N25" s="20"/>
      <c r="O25" s="21"/>
      <c r="P25" s="22" t="str">
        <f aca="false">IF(B25="","",N25-M25)</f>
        <v/>
      </c>
      <c r="Q25" s="23" t="str">
        <f aca="false">IF(B25="","",IF(M25=0,"",P25/M25))</f>
        <v/>
      </c>
      <c r="R25" s="7" t="str">
        <f aca="false">IF(B25="","",IF(O25&lt;=設定!$C$6,IF(Q25&gt;=設定!$C$7,"I(コア)","II(回転)"),IF(Q25&gt;=設定!$C$7,"III(厳選)","IV(見送り)")))</f>
        <v/>
      </c>
      <c r="S25" s="23" t="str">
        <f aca="false">IF(B25="","",IF(K25="在庫中",IF($C$6=0,"",N25/$C$6),""))</f>
        <v/>
      </c>
      <c r="T25" s="18"/>
    </row>
    <row r="26" customFormat="false" ht="15" hidden="false" customHeight="false" outlineLevel="0" collapsed="false">
      <c r="A26" s="16" t="str">
        <f aca="false">IF(B26="","",ROW()-10)</f>
        <v/>
      </c>
      <c r="B26" s="18"/>
      <c r="C26" s="18"/>
      <c r="D26" s="18"/>
      <c r="E26" s="18"/>
      <c r="F26" s="19"/>
      <c r="G26" s="19"/>
      <c r="H26" s="19"/>
      <c r="I26" s="18"/>
      <c r="J26" s="18"/>
      <c r="K26" s="18"/>
      <c r="L26" s="31"/>
      <c r="M26" s="20"/>
      <c r="N26" s="20"/>
      <c r="O26" s="21"/>
      <c r="P26" s="22" t="str">
        <f aca="false">IF(B26="","",N26-M26)</f>
        <v/>
      </c>
      <c r="Q26" s="23" t="str">
        <f aca="false">IF(B26="","",IF(M26=0,"",P26/M26))</f>
        <v/>
      </c>
      <c r="R26" s="7" t="str">
        <f aca="false">IF(B26="","",IF(O26&lt;=設定!$C$6,IF(Q26&gt;=設定!$C$7,"I(コア)","II(回転)"),IF(Q26&gt;=設定!$C$7,"III(厳選)","IV(見送り)")))</f>
        <v/>
      </c>
      <c r="S26" s="23" t="str">
        <f aca="false">IF(B26="","",IF(K26="在庫中",IF($C$6=0,"",N26/$C$6),""))</f>
        <v/>
      </c>
      <c r="T26" s="18"/>
    </row>
    <row r="27" customFormat="false" ht="15" hidden="false" customHeight="false" outlineLevel="0" collapsed="false">
      <c r="A27" s="16" t="str">
        <f aca="false">IF(B27="","",ROW()-10)</f>
        <v/>
      </c>
      <c r="B27" s="18"/>
      <c r="C27" s="18"/>
      <c r="D27" s="18"/>
      <c r="E27" s="18"/>
      <c r="F27" s="19"/>
      <c r="G27" s="19"/>
      <c r="H27" s="19"/>
      <c r="I27" s="18"/>
      <c r="J27" s="18"/>
      <c r="K27" s="18"/>
      <c r="L27" s="31"/>
      <c r="M27" s="20"/>
      <c r="N27" s="20"/>
      <c r="O27" s="21"/>
      <c r="P27" s="22" t="str">
        <f aca="false">IF(B27="","",N27-M27)</f>
        <v/>
      </c>
      <c r="Q27" s="23" t="str">
        <f aca="false">IF(B27="","",IF(M27=0,"",P27/M27))</f>
        <v/>
      </c>
      <c r="R27" s="7" t="str">
        <f aca="false">IF(B27="","",IF(O27&lt;=設定!$C$6,IF(Q27&gt;=設定!$C$7,"I(コア)","II(回転)"),IF(Q27&gt;=設定!$C$7,"III(厳選)","IV(見送り)")))</f>
        <v/>
      </c>
      <c r="S27" s="23" t="str">
        <f aca="false">IF(B27="","",IF(K27="在庫中",IF($C$6=0,"",N27/$C$6),""))</f>
        <v/>
      </c>
      <c r="T27" s="18"/>
    </row>
    <row r="28" customFormat="false" ht="15" hidden="false" customHeight="false" outlineLevel="0" collapsed="false">
      <c r="A28" s="16" t="str">
        <f aca="false">IF(B28="","",ROW()-10)</f>
        <v/>
      </c>
      <c r="B28" s="18"/>
      <c r="C28" s="18"/>
      <c r="D28" s="18"/>
      <c r="E28" s="18"/>
      <c r="F28" s="19"/>
      <c r="G28" s="19"/>
      <c r="H28" s="19"/>
      <c r="I28" s="18"/>
      <c r="J28" s="18"/>
      <c r="K28" s="18"/>
      <c r="L28" s="31"/>
      <c r="M28" s="20"/>
      <c r="N28" s="20"/>
      <c r="O28" s="21"/>
      <c r="P28" s="22" t="str">
        <f aca="false">IF(B28="","",N28-M28)</f>
        <v/>
      </c>
      <c r="Q28" s="23" t="str">
        <f aca="false">IF(B28="","",IF(M28=0,"",P28/M28))</f>
        <v/>
      </c>
      <c r="R28" s="7" t="str">
        <f aca="false">IF(B28="","",IF(O28&lt;=設定!$C$6,IF(Q28&gt;=設定!$C$7,"I(コア)","II(回転)"),IF(Q28&gt;=設定!$C$7,"III(厳選)","IV(見送り)")))</f>
        <v/>
      </c>
      <c r="S28" s="23" t="str">
        <f aca="false">IF(B28="","",IF(K28="在庫中",IF($C$6=0,"",N28/$C$6),""))</f>
        <v/>
      </c>
      <c r="T28" s="18"/>
    </row>
    <row r="29" customFormat="false" ht="15" hidden="false" customHeight="false" outlineLevel="0" collapsed="false">
      <c r="A29" s="16" t="str">
        <f aca="false">IF(B29="","",ROW()-10)</f>
        <v/>
      </c>
      <c r="B29" s="18"/>
      <c r="C29" s="18"/>
      <c r="D29" s="18"/>
      <c r="E29" s="18"/>
      <c r="F29" s="19"/>
      <c r="G29" s="19"/>
      <c r="H29" s="19"/>
      <c r="I29" s="18"/>
      <c r="J29" s="18"/>
      <c r="K29" s="18"/>
      <c r="L29" s="31"/>
      <c r="M29" s="20"/>
      <c r="N29" s="20"/>
      <c r="O29" s="21"/>
      <c r="P29" s="22" t="str">
        <f aca="false">IF(B29="","",N29-M29)</f>
        <v/>
      </c>
      <c r="Q29" s="23" t="str">
        <f aca="false">IF(B29="","",IF(M29=0,"",P29/M29))</f>
        <v/>
      </c>
      <c r="R29" s="7" t="str">
        <f aca="false">IF(B29="","",IF(O29&lt;=設定!$C$6,IF(Q29&gt;=設定!$C$7,"I(コア)","II(回転)"),IF(Q29&gt;=設定!$C$7,"III(厳選)","IV(見送り)")))</f>
        <v/>
      </c>
      <c r="S29" s="23" t="str">
        <f aca="false">IF(B29="","",IF(K29="在庫中",IF($C$6=0,"",N29/$C$6),""))</f>
        <v/>
      </c>
      <c r="T29" s="18"/>
    </row>
    <row r="30" customFormat="false" ht="15" hidden="false" customHeight="false" outlineLevel="0" collapsed="false">
      <c r="A30" s="16" t="str">
        <f aca="false">IF(B30="","",ROW()-10)</f>
        <v/>
      </c>
      <c r="B30" s="18"/>
      <c r="C30" s="18"/>
      <c r="D30" s="18"/>
      <c r="E30" s="18"/>
      <c r="F30" s="19"/>
      <c r="G30" s="19"/>
      <c r="H30" s="19"/>
      <c r="I30" s="18"/>
      <c r="J30" s="18"/>
      <c r="K30" s="18"/>
      <c r="L30" s="31"/>
      <c r="M30" s="20"/>
      <c r="N30" s="20"/>
      <c r="O30" s="21"/>
      <c r="P30" s="22" t="str">
        <f aca="false">IF(B30="","",N30-M30)</f>
        <v/>
      </c>
      <c r="Q30" s="23" t="str">
        <f aca="false">IF(B30="","",IF(M30=0,"",P30/M30))</f>
        <v/>
      </c>
      <c r="R30" s="7" t="str">
        <f aca="false">IF(B30="","",IF(O30&lt;=設定!$C$6,IF(Q30&gt;=設定!$C$7,"I(コア)","II(回転)"),IF(Q30&gt;=設定!$C$7,"III(厳選)","IV(見送り)")))</f>
        <v/>
      </c>
      <c r="S30" s="23" t="str">
        <f aca="false">IF(B30="","",IF(K30="在庫中",IF($C$6=0,"",N30/$C$6),""))</f>
        <v/>
      </c>
      <c r="T30" s="18"/>
    </row>
    <row r="31" customFormat="false" ht="15" hidden="false" customHeight="false" outlineLevel="0" collapsed="false">
      <c r="A31" s="16" t="str">
        <f aca="false">IF(B31="","",ROW()-10)</f>
        <v/>
      </c>
      <c r="B31" s="18"/>
      <c r="C31" s="18"/>
      <c r="D31" s="18"/>
      <c r="E31" s="18"/>
      <c r="F31" s="19"/>
      <c r="G31" s="19"/>
      <c r="H31" s="19"/>
      <c r="I31" s="18"/>
      <c r="J31" s="18"/>
      <c r="K31" s="18"/>
      <c r="L31" s="31"/>
      <c r="M31" s="20"/>
      <c r="N31" s="20"/>
      <c r="O31" s="21"/>
      <c r="P31" s="22" t="str">
        <f aca="false">IF(B31="","",N31-M31)</f>
        <v/>
      </c>
      <c r="Q31" s="23" t="str">
        <f aca="false">IF(B31="","",IF(M31=0,"",P31/M31))</f>
        <v/>
      </c>
      <c r="R31" s="7" t="str">
        <f aca="false">IF(B31="","",IF(O31&lt;=設定!$C$6,IF(Q31&gt;=設定!$C$7,"I(コア)","II(回転)"),IF(Q31&gt;=設定!$C$7,"III(厳選)","IV(見送り)")))</f>
        <v/>
      </c>
      <c r="S31" s="23" t="str">
        <f aca="false">IF(B31="","",IF(K31="在庫中",IF($C$6=0,"",N31/$C$6),""))</f>
        <v/>
      </c>
      <c r="T31" s="18"/>
    </row>
    <row r="32" customFormat="false" ht="15" hidden="false" customHeight="false" outlineLevel="0" collapsed="false">
      <c r="A32" s="16" t="str">
        <f aca="false">IF(B32="","",ROW()-10)</f>
        <v/>
      </c>
      <c r="B32" s="18"/>
      <c r="C32" s="18"/>
      <c r="D32" s="18"/>
      <c r="E32" s="18"/>
      <c r="F32" s="19"/>
      <c r="G32" s="19"/>
      <c r="H32" s="19"/>
      <c r="I32" s="18"/>
      <c r="J32" s="18"/>
      <c r="K32" s="18"/>
      <c r="L32" s="31"/>
      <c r="M32" s="20"/>
      <c r="N32" s="20"/>
      <c r="O32" s="21"/>
      <c r="P32" s="22" t="str">
        <f aca="false">IF(B32="","",N32-M32)</f>
        <v/>
      </c>
      <c r="Q32" s="23" t="str">
        <f aca="false">IF(B32="","",IF(M32=0,"",P32/M32))</f>
        <v/>
      </c>
      <c r="R32" s="7" t="str">
        <f aca="false">IF(B32="","",IF(O32&lt;=設定!$C$6,IF(Q32&gt;=設定!$C$7,"I(コア)","II(回転)"),IF(Q32&gt;=設定!$C$7,"III(厳選)","IV(見送り)")))</f>
        <v/>
      </c>
      <c r="S32" s="23" t="str">
        <f aca="false">IF(B32="","",IF(K32="在庫中",IF($C$6=0,"",N32/$C$6),""))</f>
        <v/>
      </c>
      <c r="T32" s="18"/>
    </row>
    <row r="33" customFormat="false" ht="15" hidden="false" customHeight="false" outlineLevel="0" collapsed="false">
      <c r="A33" s="16" t="str">
        <f aca="false">IF(B33="","",ROW()-10)</f>
        <v/>
      </c>
      <c r="B33" s="18"/>
      <c r="C33" s="18"/>
      <c r="D33" s="18"/>
      <c r="E33" s="18"/>
      <c r="F33" s="19"/>
      <c r="G33" s="19"/>
      <c r="H33" s="19"/>
      <c r="I33" s="18"/>
      <c r="J33" s="18"/>
      <c r="K33" s="18"/>
      <c r="L33" s="31"/>
      <c r="M33" s="20"/>
      <c r="N33" s="20"/>
      <c r="O33" s="21"/>
      <c r="P33" s="22" t="str">
        <f aca="false">IF(B33="","",N33-M33)</f>
        <v/>
      </c>
      <c r="Q33" s="23" t="str">
        <f aca="false">IF(B33="","",IF(M33=0,"",P33/M33))</f>
        <v/>
      </c>
      <c r="R33" s="7" t="str">
        <f aca="false">IF(B33="","",IF(O33&lt;=設定!$C$6,IF(Q33&gt;=設定!$C$7,"I(コア)","II(回転)"),IF(Q33&gt;=設定!$C$7,"III(厳選)","IV(見送り)")))</f>
        <v/>
      </c>
      <c r="S33" s="23" t="str">
        <f aca="false">IF(B33="","",IF(K33="在庫中",IF($C$6=0,"",N33/$C$6),""))</f>
        <v/>
      </c>
      <c r="T33" s="18"/>
    </row>
    <row r="34" customFormat="false" ht="15" hidden="false" customHeight="false" outlineLevel="0" collapsed="false">
      <c r="A34" s="16" t="str">
        <f aca="false">IF(B34="","",ROW()-10)</f>
        <v/>
      </c>
      <c r="B34" s="18"/>
      <c r="C34" s="18"/>
      <c r="D34" s="18"/>
      <c r="E34" s="18"/>
      <c r="F34" s="19"/>
      <c r="G34" s="19"/>
      <c r="H34" s="19"/>
      <c r="I34" s="18"/>
      <c r="J34" s="18"/>
      <c r="K34" s="18"/>
      <c r="L34" s="31"/>
      <c r="M34" s="20"/>
      <c r="N34" s="20"/>
      <c r="O34" s="21"/>
      <c r="P34" s="22" t="str">
        <f aca="false">IF(B34="","",N34-M34)</f>
        <v/>
      </c>
      <c r="Q34" s="23" t="str">
        <f aca="false">IF(B34="","",IF(M34=0,"",P34/M34))</f>
        <v/>
      </c>
      <c r="R34" s="7" t="str">
        <f aca="false">IF(B34="","",IF(O34&lt;=設定!$C$6,IF(Q34&gt;=設定!$C$7,"I(コア)","II(回転)"),IF(Q34&gt;=設定!$C$7,"III(厳選)","IV(見送り)")))</f>
        <v/>
      </c>
      <c r="S34" s="23" t="str">
        <f aca="false">IF(B34="","",IF(K34="在庫中",IF($C$6=0,"",N34/$C$6),""))</f>
        <v/>
      </c>
      <c r="T34" s="18"/>
    </row>
    <row r="35" customFormat="false" ht="15" hidden="false" customHeight="false" outlineLevel="0" collapsed="false">
      <c r="A35" s="16" t="str">
        <f aca="false">IF(B35="","",ROW()-10)</f>
        <v/>
      </c>
      <c r="B35" s="18"/>
      <c r="C35" s="18"/>
      <c r="D35" s="18"/>
      <c r="E35" s="18"/>
      <c r="F35" s="19"/>
      <c r="G35" s="19"/>
      <c r="H35" s="19"/>
      <c r="I35" s="18"/>
      <c r="J35" s="18"/>
      <c r="K35" s="18"/>
      <c r="L35" s="31"/>
      <c r="M35" s="20"/>
      <c r="N35" s="20"/>
      <c r="O35" s="21"/>
      <c r="P35" s="22" t="str">
        <f aca="false">IF(B35="","",N35-M35)</f>
        <v/>
      </c>
      <c r="Q35" s="23" t="str">
        <f aca="false">IF(B35="","",IF(M35=0,"",P35/M35))</f>
        <v/>
      </c>
      <c r="R35" s="7" t="str">
        <f aca="false">IF(B35="","",IF(O35&lt;=設定!$C$6,IF(Q35&gt;=設定!$C$7,"I(コア)","II(回転)"),IF(Q35&gt;=設定!$C$7,"III(厳選)","IV(見送り)")))</f>
        <v/>
      </c>
      <c r="S35" s="23" t="str">
        <f aca="false">IF(B35="","",IF(K35="在庫中",IF($C$6=0,"",N35/$C$6),""))</f>
        <v/>
      </c>
      <c r="T35" s="18"/>
    </row>
    <row r="36" customFormat="false" ht="15" hidden="false" customHeight="false" outlineLevel="0" collapsed="false">
      <c r="A36" s="16" t="str">
        <f aca="false">IF(B36="","",ROW()-10)</f>
        <v/>
      </c>
      <c r="B36" s="18"/>
      <c r="C36" s="18"/>
      <c r="D36" s="18"/>
      <c r="E36" s="18"/>
      <c r="F36" s="19"/>
      <c r="G36" s="19"/>
      <c r="H36" s="19"/>
      <c r="I36" s="18"/>
      <c r="J36" s="18"/>
      <c r="K36" s="18"/>
      <c r="L36" s="31"/>
      <c r="M36" s="20"/>
      <c r="N36" s="20"/>
      <c r="O36" s="21"/>
      <c r="P36" s="22" t="str">
        <f aca="false">IF(B36="","",N36-M36)</f>
        <v/>
      </c>
      <c r="Q36" s="23" t="str">
        <f aca="false">IF(B36="","",IF(M36=0,"",P36/M36))</f>
        <v/>
      </c>
      <c r="R36" s="7" t="str">
        <f aca="false">IF(B36="","",IF(O36&lt;=設定!$C$6,IF(Q36&gt;=設定!$C$7,"I(コア)","II(回転)"),IF(Q36&gt;=設定!$C$7,"III(厳選)","IV(見送り)")))</f>
        <v/>
      </c>
      <c r="S36" s="23" t="str">
        <f aca="false">IF(B36="","",IF(K36="在庫中",IF($C$6=0,"",N36/$C$6),""))</f>
        <v/>
      </c>
      <c r="T36" s="18"/>
    </row>
    <row r="37" customFormat="false" ht="15" hidden="false" customHeight="false" outlineLevel="0" collapsed="false">
      <c r="A37" s="16" t="str">
        <f aca="false">IF(B37="","",ROW()-10)</f>
        <v/>
      </c>
      <c r="B37" s="18"/>
      <c r="C37" s="18"/>
      <c r="D37" s="18"/>
      <c r="E37" s="18"/>
      <c r="F37" s="19"/>
      <c r="G37" s="19"/>
      <c r="H37" s="19"/>
      <c r="I37" s="18"/>
      <c r="J37" s="18"/>
      <c r="K37" s="18"/>
      <c r="L37" s="31"/>
      <c r="M37" s="20"/>
      <c r="N37" s="20"/>
      <c r="O37" s="21"/>
      <c r="P37" s="22" t="str">
        <f aca="false">IF(B37="","",N37-M37)</f>
        <v/>
      </c>
      <c r="Q37" s="23" t="str">
        <f aca="false">IF(B37="","",IF(M37=0,"",P37/M37))</f>
        <v/>
      </c>
      <c r="R37" s="7" t="str">
        <f aca="false">IF(B37="","",IF(O37&lt;=設定!$C$6,IF(Q37&gt;=設定!$C$7,"I(コア)","II(回転)"),IF(Q37&gt;=設定!$C$7,"III(厳選)","IV(見送り)")))</f>
        <v/>
      </c>
      <c r="S37" s="23" t="str">
        <f aca="false">IF(B37="","",IF(K37="在庫中",IF($C$6=0,"",N37/$C$6),""))</f>
        <v/>
      </c>
      <c r="T37" s="18"/>
    </row>
    <row r="38" customFormat="false" ht="15" hidden="false" customHeight="false" outlineLevel="0" collapsed="false">
      <c r="A38" s="16" t="str">
        <f aca="false">IF(B38="","",ROW()-10)</f>
        <v/>
      </c>
      <c r="B38" s="18"/>
      <c r="C38" s="18"/>
      <c r="D38" s="18"/>
      <c r="E38" s="18"/>
      <c r="F38" s="19"/>
      <c r="G38" s="19"/>
      <c r="H38" s="19"/>
      <c r="I38" s="18"/>
      <c r="J38" s="18"/>
      <c r="K38" s="18"/>
      <c r="L38" s="31"/>
      <c r="M38" s="20"/>
      <c r="N38" s="20"/>
      <c r="O38" s="21"/>
      <c r="P38" s="22" t="str">
        <f aca="false">IF(B38="","",N38-M38)</f>
        <v/>
      </c>
      <c r="Q38" s="23" t="str">
        <f aca="false">IF(B38="","",IF(M38=0,"",P38/M38))</f>
        <v/>
      </c>
      <c r="R38" s="7" t="str">
        <f aca="false">IF(B38="","",IF(O38&lt;=設定!$C$6,IF(Q38&gt;=設定!$C$7,"I(コア)","II(回転)"),IF(Q38&gt;=設定!$C$7,"III(厳選)","IV(見送り)")))</f>
        <v/>
      </c>
      <c r="S38" s="23" t="str">
        <f aca="false">IF(B38="","",IF(K38="在庫中",IF($C$6=0,"",N38/$C$6),""))</f>
        <v/>
      </c>
      <c r="T38" s="18"/>
    </row>
    <row r="39" customFormat="false" ht="15" hidden="false" customHeight="false" outlineLevel="0" collapsed="false">
      <c r="A39" s="16" t="str">
        <f aca="false">IF(B39="","",ROW()-10)</f>
        <v/>
      </c>
      <c r="B39" s="18"/>
      <c r="C39" s="18"/>
      <c r="D39" s="18"/>
      <c r="E39" s="18"/>
      <c r="F39" s="19"/>
      <c r="G39" s="19"/>
      <c r="H39" s="19"/>
      <c r="I39" s="18"/>
      <c r="J39" s="18"/>
      <c r="K39" s="18"/>
      <c r="L39" s="31"/>
      <c r="M39" s="20"/>
      <c r="N39" s="20"/>
      <c r="O39" s="21"/>
      <c r="P39" s="22" t="str">
        <f aca="false">IF(B39="","",N39-M39)</f>
        <v/>
      </c>
      <c r="Q39" s="23" t="str">
        <f aca="false">IF(B39="","",IF(M39=0,"",P39/M39))</f>
        <v/>
      </c>
      <c r="R39" s="7" t="str">
        <f aca="false">IF(B39="","",IF(O39&lt;=設定!$C$6,IF(Q39&gt;=設定!$C$7,"I(コア)","II(回転)"),IF(Q39&gt;=設定!$C$7,"III(厳選)","IV(見送り)")))</f>
        <v/>
      </c>
      <c r="S39" s="23" t="str">
        <f aca="false">IF(B39="","",IF(K39="在庫中",IF($C$6=0,"",N39/$C$6),""))</f>
        <v/>
      </c>
      <c r="T39" s="18"/>
    </row>
    <row r="40" customFormat="false" ht="15" hidden="false" customHeight="false" outlineLevel="0" collapsed="false">
      <c r="A40" s="16" t="str">
        <f aca="false">IF(B40="","",ROW()-10)</f>
        <v/>
      </c>
      <c r="B40" s="18"/>
      <c r="C40" s="18"/>
      <c r="D40" s="18"/>
      <c r="E40" s="18"/>
      <c r="F40" s="19"/>
      <c r="G40" s="19"/>
      <c r="H40" s="19"/>
      <c r="I40" s="18"/>
      <c r="J40" s="18"/>
      <c r="K40" s="18"/>
      <c r="L40" s="31"/>
      <c r="M40" s="20"/>
      <c r="N40" s="20"/>
      <c r="O40" s="21"/>
      <c r="P40" s="22" t="str">
        <f aca="false">IF(B40="","",N40-M40)</f>
        <v/>
      </c>
      <c r="Q40" s="23" t="str">
        <f aca="false">IF(B40="","",IF(M40=0,"",P40/M40))</f>
        <v/>
      </c>
      <c r="R40" s="7" t="str">
        <f aca="false">IF(B40="","",IF(O40&lt;=設定!$C$6,IF(Q40&gt;=設定!$C$7,"I(コア)","II(回転)"),IF(Q40&gt;=設定!$C$7,"III(厳選)","IV(見送り)")))</f>
        <v/>
      </c>
      <c r="S40" s="23" t="str">
        <f aca="false">IF(B40="","",IF(K40="在庫中",IF($C$6=0,"",N40/$C$6),""))</f>
        <v/>
      </c>
      <c r="T40" s="18"/>
    </row>
    <row r="41" customFormat="false" ht="15" hidden="false" customHeight="false" outlineLevel="0" collapsed="false">
      <c r="A41" s="16" t="str">
        <f aca="false">IF(B41="","",ROW()-10)</f>
        <v/>
      </c>
      <c r="B41" s="18"/>
      <c r="C41" s="18"/>
      <c r="D41" s="18"/>
      <c r="E41" s="18"/>
      <c r="F41" s="19"/>
      <c r="G41" s="19"/>
      <c r="H41" s="19"/>
      <c r="I41" s="18"/>
      <c r="J41" s="18"/>
      <c r="K41" s="18"/>
      <c r="L41" s="31"/>
      <c r="M41" s="20"/>
      <c r="N41" s="20"/>
      <c r="O41" s="21"/>
      <c r="P41" s="22" t="str">
        <f aca="false">IF(B41="","",N41-M41)</f>
        <v/>
      </c>
      <c r="Q41" s="23" t="str">
        <f aca="false">IF(B41="","",IF(M41=0,"",P41/M41))</f>
        <v/>
      </c>
      <c r="R41" s="7" t="str">
        <f aca="false">IF(B41="","",IF(O41&lt;=設定!$C$6,IF(Q41&gt;=設定!$C$7,"I(コア)","II(回転)"),IF(Q41&gt;=設定!$C$7,"III(厳選)","IV(見送り)")))</f>
        <v/>
      </c>
      <c r="S41" s="23" t="str">
        <f aca="false">IF(B41="","",IF(K41="在庫中",IF($C$6=0,"",N41/$C$6),""))</f>
        <v/>
      </c>
      <c r="T41" s="18"/>
    </row>
    <row r="42" customFormat="false" ht="15" hidden="false" customHeight="false" outlineLevel="0" collapsed="false">
      <c r="A42" s="16" t="str">
        <f aca="false">IF(B42="","",ROW()-10)</f>
        <v/>
      </c>
      <c r="B42" s="18"/>
      <c r="C42" s="18"/>
      <c r="D42" s="18"/>
      <c r="E42" s="18"/>
      <c r="F42" s="19"/>
      <c r="G42" s="19"/>
      <c r="H42" s="19"/>
      <c r="I42" s="18"/>
      <c r="J42" s="18"/>
      <c r="K42" s="18"/>
      <c r="L42" s="31"/>
      <c r="M42" s="20"/>
      <c r="N42" s="20"/>
      <c r="O42" s="21"/>
      <c r="P42" s="22" t="str">
        <f aca="false">IF(B42="","",N42-M42)</f>
        <v/>
      </c>
      <c r="Q42" s="23" t="str">
        <f aca="false">IF(B42="","",IF(M42=0,"",P42/M42))</f>
        <v/>
      </c>
      <c r="R42" s="7" t="str">
        <f aca="false">IF(B42="","",IF(O42&lt;=設定!$C$6,IF(Q42&gt;=設定!$C$7,"I(コア)","II(回転)"),IF(Q42&gt;=設定!$C$7,"III(厳選)","IV(見送り)")))</f>
        <v/>
      </c>
      <c r="S42" s="23" t="str">
        <f aca="false">IF(B42="","",IF(K42="在庫中",IF($C$6=0,"",N42/$C$6),""))</f>
        <v/>
      </c>
      <c r="T42" s="18"/>
    </row>
    <row r="43" customFormat="false" ht="15" hidden="false" customHeight="false" outlineLevel="0" collapsed="false">
      <c r="A43" s="16" t="str">
        <f aca="false">IF(B43="","",ROW()-10)</f>
        <v/>
      </c>
      <c r="B43" s="18"/>
      <c r="C43" s="18"/>
      <c r="D43" s="18"/>
      <c r="E43" s="18"/>
      <c r="F43" s="19"/>
      <c r="G43" s="19"/>
      <c r="H43" s="19"/>
      <c r="I43" s="18"/>
      <c r="J43" s="18"/>
      <c r="K43" s="18"/>
      <c r="L43" s="31"/>
      <c r="M43" s="20"/>
      <c r="N43" s="20"/>
      <c r="O43" s="21"/>
      <c r="P43" s="22" t="str">
        <f aca="false">IF(B43="","",N43-M43)</f>
        <v/>
      </c>
      <c r="Q43" s="23" t="str">
        <f aca="false">IF(B43="","",IF(M43=0,"",P43/M43))</f>
        <v/>
      </c>
      <c r="R43" s="7" t="str">
        <f aca="false">IF(B43="","",IF(O43&lt;=設定!$C$6,IF(Q43&gt;=設定!$C$7,"I(コア)","II(回転)"),IF(Q43&gt;=設定!$C$7,"III(厳選)","IV(見送り)")))</f>
        <v/>
      </c>
      <c r="S43" s="23" t="str">
        <f aca="false">IF(B43="","",IF(K43="在庫中",IF($C$6=0,"",N43/$C$6),""))</f>
        <v/>
      </c>
      <c r="T43" s="18"/>
    </row>
    <row r="44" customFormat="false" ht="15" hidden="false" customHeight="false" outlineLevel="0" collapsed="false">
      <c r="A44" s="16" t="str">
        <f aca="false">IF(B44="","",ROW()-10)</f>
        <v/>
      </c>
      <c r="B44" s="18"/>
      <c r="C44" s="18"/>
      <c r="D44" s="18"/>
      <c r="E44" s="18"/>
      <c r="F44" s="19"/>
      <c r="G44" s="19"/>
      <c r="H44" s="19"/>
      <c r="I44" s="18"/>
      <c r="J44" s="18"/>
      <c r="K44" s="18"/>
      <c r="L44" s="31"/>
      <c r="M44" s="20"/>
      <c r="N44" s="20"/>
      <c r="O44" s="21"/>
      <c r="P44" s="22" t="str">
        <f aca="false">IF(B44="","",N44-M44)</f>
        <v/>
      </c>
      <c r="Q44" s="23" t="str">
        <f aca="false">IF(B44="","",IF(M44=0,"",P44/M44))</f>
        <v/>
      </c>
      <c r="R44" s="7" t="str">
        <f aca="false">IF(B44="","",IF(O44&lt;=設定!$C$6,IF(Q44&gt;=設定!$C$7,"I(コア)","II(回転)"),IF(Q44&gt;=設定!$C$7,"III(厳選)","IV(見送り)")))</f>
        <v/>
      </c>
      <c r="S44" s="23" t="str">
        <f aca="false">IF(B44="","",IF(K44="在庫中",IF($C$6=0,"",N44/$C$6),""))</f>
        <v/>
      </c>
      <c r="T44" s="18"/>
    </row>
    <row r="45" customFormat="false" ht="15" hidden="false" customHeight="false" outlineLevel="0" collapsed="false">
      <c r="A45" s="16" t="str">
        <f aca="false">IF(B45="","",ROW()-10)</f>
        <v/>
      </c>
      <c r="B45" s="18"/>
      <c r="C45" s="18"/>
      <c r="D45" s="18"/>
      <c r="E45" s="18"/>
      <c r="F45" s="19"/>
      <c r="G45" s="19"/>
      <c r="H45" s="19"/>
      <c r="I45" s="18"/>
      <c r="J45" s="18"/>
      <c r="K45" s="18"/>
      <c r="L45" s="31"/>
      <c r="M45" s="20"/>
      <c r="N45" s="20"/>
      <c r="O45" s="21"/>
      <c r="P45" s="22" t="str">
        <f aca="false">IF(B45="","",N45-M45)</f>
        <v/>
      </c>
      <c r="Q45" s="23" t="str">
        <f aca="false">IF(B45="","",IF(M45=0,"",P45/M45))</f>
        <v/>
      </c>
      <c r="R45" s="7" t="str">
        <f aca="false">IF(B45="","",IF(O45&lt;=設定!$C$6,IF(Q45&gt;=設定!$C$7,"I(コア)","II(回転)"),IF(Q45&gt;=設定!$C$7,"III(厳選)","IV(見送り)")))</f>
        <v/>
      </c>
      <c r="S45" s="23" t="str">
        <f aca="false">IF(B45="","",IF(K45="在庫中",IF($C$6=0,"",N45/$C$6),""))</f>
        <v/>
      </c>
      <c r="T45" s="18"/>
    </row>
    <row r="46" customFormat="false" ht="15" hidden="false" customHeight="false" outlineLevel="0" collapsed="false">
      <c r="A46" s="16" t="str">
        <f aca="false">IF(B46="","",ROW()-10)</f>
        <v/>
      </c>
      <c r="B46" s="18"/>
      <c r="C46" s="18"/>
      <c r="D46" s="18"/>
      <c r="E46" s="18"/>
      <c r="F46" s="19"/>
      <c r="G46" s="19"/>
      <c r="H46" s="19"/>
      <c r="I46" s="18"/>
      <c r="J46" s="18"/>
      <c r="K46" s="18"/>
      <c r="L46" s="31"/>
      <c r="M46" s="20"/>
      <c r="N46" s="20"/>
      <c r="O46" s="21"/>
      <c r="P46" s="22" t="str">
        <f aca="false">IF(B46="","",N46-M46)</f>
        <v/>
      </c>
      <c r="Q46" s="23" t="str">
        <f aca="false">IF(B46="","",IF(M46=0,"",P46/M46))</f>
        <v/>
      </c>
      <c r="R46" s="7" t="str">
        <f aca="false">IF(B46="","",IF(O46&lt;=設定!$C$6,IF(Q46&gt;=設定!$C$7,"I(コア)","II(回転)"),IF(Q46&gt;=設定!$C$7,"III(厳選)","IV(見送り)")))</f>
        <v/>
      </c>
      <c r="S46" s="23" t="str">
        <f aca="false">IF(B46="","",IF(K46="在庫中",IF($C$6=0,"",N46/$C$6),""))</f>
        <v/>
      </c>
      <c r="T46" s="18"/>
    </row>
    <row r="47" customFormat="false" ht="15" hidden="false" customHeight="false" outlineLevel="0" collapsed="false">
      <c r="A47" s="16" t="str">
        <f aca="false">IF(B47="","",ROW()-10)</f>
        <v/>
      </c>
      <c r="B47" s="18"/>
      <c r="C47" s="18"/>
      <c r="D47" s="18"/>
      <c r="E47" s="18"/>
      <c r="F47" s="19"/>
      <c r="G47" s="19"/>
      <c r="H47" s="19"/>
      <c r="I47" s="18"/>
      <c r="J47" s="18"/>
      <c r="K47" s="18"/>
      <c r="L47" s="31"/>
      <c r="M47" s="20"/>
      <c r="N47" s="20"/>
      <c r="O47" s="21"/>
      <c r="P47" s="22" t="str">
        <f aca="false">IF(B47="","",N47-M47)</f>
        <v/>
      </c>
      <c r="Q47" s="23" t="str">
        <f aca="false">IF(B47="","",IF(M47=0,"",P47/M47))</f>
        <v/>
      </c>
      <c r="R47" s="7" t="str">
        <f aca="false">IF(B47="","",IF(O47&lt;=設定!$C$6,IF(Q47&gt;=設定!$C$7,"I(コア)","II(回転)"),IF(Q47&gt;=設定!$C$7,"III(厳選)","IV(見送り)")))</f>
        <v/>
      </c>
      <c r="S47" s="23" t="str">
        <f aca="false">IF(B47="","",IF(K47="在庫中",IF($C$6=0,"",N47/$C$6),""))</f>
        <v/>
      </c>
      <c r="T47" s="18"/>
    </row>
    <row r="48" customFormat="false" ht="15" hidden="false" customHeight="false" outlineLevel="0" collapsed="false">
      <c r="A48" s="16" t="str">
        <f aca="false">IF(B48="","",ROW()-10)</f>
        <v/>
      </c>
      <c r="B48" s="18"/>
      <c r="C48" s="18"/>
      <c r="D48" s="18"/>
      <c r="E48" s="18"/>
      <c r="F48" s="19"/>
      <c r="G48" s="19"/>
      <c r="H48" s="19"/>
      <c r="I48" s="18"/>
      <c r="J48" s="18"/>
      <c r="K48" s="18"/>
      <c r="L48" s="31"/>
      <c r="M48" s="20"/>
      <c r="N48" s="20"/>
      <c r="O48" s="21"/>
      <c r="P48" s="22" t="str">
        <f aca="false">IF(B48="","",N48-M48)</f>
        <v/>
      </c>
      <c r="Q48" s="23" t="str">
        <f aca="false">IF(B48="","",IF(M48=0,"",P48/M48))</f>
        <v/>
      </c>
      <c r="R48" s="7" t="str">
        <f aca="false">IF(B48="","",IF(O48&lt;=設定!$C$6,IF(Q48&gt;=設定!$C$7,"I(コア)","II(回転)"),IF(Q48&gt;=設定!$C$7,"III(厳選)","IV(見送り)")))</f>
        <v/>
      </c>
      <c r="S48" s="23" t="str">
        <f aca="false">IF(B48="","",IF(K48="在庫中",IF($C$6=0,"",N48/$C$6),""))</f>
        <v/>
      </c>
      <c r="T48" s="18"/>
    </row>
    <row r="49" customFormat="false" ht="15" hidden="false" customHeight="false" outlineLevel="0" collapsed="false">
      <c r="A49" s="16" t="str">
        <f aca="false">IF(B49="","",ROW()-10)</f>
        <v/>
      </c>
      <c r="B49" s="18"/>
      <c r="C49" s="18"/>
      <c r="D49" s="18"/>
      <c r="E49" s="18"/>
      <c r="F49" s="19"/>
      <c r="G49" s="19"/>
      <c r="H49" s="19"/>
      <c r="I49" s="18"/>
      <c r="J49" s="18"/>
      <c r="K49" s="18"/>
      <c r="L49" s="31"/>
      <c r="M49" s="20"/>
      <c r="N49" s="20"/>
      <c r="O49" s="21"/>
      <c r="P49" s="22" t="str">
        <f aca="false">IF(B49="","",N49-M49)</f>
        <v/>
      </c>
      <c r="Q49" s="23" t="str">
        <f aca="false">IF(B49="","",IF(M49=0,"",P49/M49))</f>
        <v/>
      </c>
      <c r="R49" s="7" t="str">
        <f aca="false">IF(B49="","",IF(O49&lt;=設定!$C$6,IF(Q49&gt;=設定!$C$7,"I(コア)","II(回転)"),IF(Q49&gt;=設定!$C$7,"III(厳選)","IV(見送り)")))</f>
        <v/>
      </c>
      <c r="S49" s="23" t="str">
        <f aca="false">IF(B49="","",IF(K49="在庫中",IF($C$6=0,"",N49/$C$6),""))</f>
        <v/>
      </c>
      <c r="T49" s="18"/>
    </row>
    <row r="50" customFormat="false" ht="15" hidden="false" customHeight="false" outlineLevel="0" collapsed="false">
      <c r="A50" s="16" t="str">
        <f aca="false">IF(B50="","",ROW()-10)</f>
        <v/>
      </c>
      <c r="B50" s="18"/>
      <c r="C50" s="18"/>
      <c r="D50" s="18"/>
      <c r="E50" s="18"/>
      <c r="F50" s="19"/>
      <c r="G50" s="19"/>
      <c r="H50" s="19"/>
      <c r="I50" s="18"/>
      <c r="J50" s="18"/>
      <c r="K50" s="18"/>
      <c r="L50" s="31"/>
      <c r="M50" s="20"/>
      <c r="N50" s="20"/>
      <c r="O50" s="21"/>
      <c r="P50" s="22" t="str">
        <f aca="false">IF(B50="","",N50-M50)</f>
        <v/>
      </c>
      <c r="Q50" s="23" t="str">
        <f aca="false">IF(B50="","",IF(M50=0,"",P50/M50))</f>
        <v/>
      </c>
      <c r="R50" s="7" t="str">
        <f aca="false">IF(B50="","",IF(O50&lt;=設定!$C$6,IF(Q50&gt;=設定!$C$7,"I(コア)","II(回転)"),IF(Q50&gt;=設定!$C$7,"III(厳選)","IV(見送り)")))</f>
        <v/>
      </c>
      <c r="S50" s="23" t="str">
        <f aca="false">IF(B50="","",IF(K50="在庫中",IF($C$6=0,"",N50/$C$6),""))</f>
        <v/>
      </c>
      <c r="T50" s="18"/>
    </row>
    <row r="51" customFormat="false" ht="15" hidden="false" customHeight="false" outlineLevel="0" collapsed="false">
      <c r="A51" s="16" t="str">
        <f aca="false">IF(B51="","",ROW()-10)</f>
        <v/>
      </c>
      <c r="B51" s="18"/>
      <c r="C51" s="18"/>
      <c r="D51" s="18"/>
      <c r="E51" s="18"/>
      <c r="F51" s="19"/>
      <c r="G51" s="19"/>
      <c r="H51" s="19"/>
      <c r="I51" s="18"/>
      <c r="J51" s="18"/>
      <c r="K51" s="18"/>
      <c r="L51" s="31"/>
      <c r="M51" s="20"/>
      <c r="N51" s="20"/>
      <c r="O51" s="21"/>
      <c r="P51" s="22" t="str">
        <f aca="false">IF(B51="","",N51-M51)</f>
        <v/>
      </c>
      <c r="Q51" s="23" t="str">
        <f aca="false">IF(B51="","",IF(M51=0,"",P51/M51))</f>
        <v/>
      </c>
      <c r="R51" s="7" t="str">
        <f aca="false">IF(B51="","",IF(O51&lt;=設定!$C$6,IF(Q51&gt;=設定!$C$7,"I(コア)","II(回転)"),IF(Q51&gt;=設定!$C$7,"III(厳選)","IV(見送り)")))</f>
        <v/>
      </c>
      <c r="S51" s="23" t="str">
        <f aca="false">IF(B51="","",IF(K51="在庫中",IF($C$6=0,"",N51/$C$6),""))</f>
        <v/>
      </c>
      <c r="T51" s="18"/>
    </row>
    <row r="52" customFormat="false" ht="15" hidden="false" customHeight="false" outlineLevel="0" collapsed="false">
      <c r="A52" s="16" t="str">
        <f aca="false">IF(B52="","",ROW()-10)</f>
        <v/>
      </c>
      <c r="B52" s="18"/>
      <c r="C52" s="18"/>
      <c r="D52" s="18"/>
      <c r="E52" s="18"/>
      <c r="F52" s="19"/>
      <c r="G52" s="19"/>
      <c r="H52" s="19"/>
      <c r="I52" s="18"/>
      <c r="J52" s="18"/>
      <c r="K52" s="18"/>
      <c r="L52" s="31"/>
      <c r="M52" s="20"/>
      <c r="N52" s="20"/>
      <c r="O52" s="21"/>
      <c r="P52" s="22" t="str">
        <f aca="false">IF(B52="","",N52-M52)</f>
        <v/>
      </c>
      <c r="Q52" s="23" t="str">
        <f aca="false">IF(B52="","",IF(M52=0,"",P52/M52))</f>
        <v/>
      </c>
      <c r="R52" s="7" t="str">
        <f aca="false">IF(B52="","",IF(O52&lt;=設定!$C$6,IF(Q52&gt;=設定!$C$7,"I(コア)","II(回転)"),IF(Q52&gt;=設定!$C$7,"III(厳選)","IV(見送り)")))</f>
        <v/>
      </c>
      <c r="S52" s="23" t="str">
        <f aca="false">IF(B52="","",IF(K52="在庫中",IF($C$6=0,"",N52/$C$6),""))</f>
        <v/>
      </c>
      <c r="T52" s="18"/>
    </row>
    <row r="53" customFormat="false" ht="15" hidden="false" customHeight="false" outlineLevel="0" collapsed="false">
      <c r="A53" s="16" t="str">
        <f aca="false">IF(B53="","",ROW()-10)</f>
        <v/>
      </c>
      <c r="B53" s="18"/>
      <c r="C53" s="18"/>
      <c r="D53" s="18"/>
      <c r="E53" s="18"/>
      <c r="F53" s="19"/>
      <c r="G53" s="19"/>
      <c r="H53" s="19"/>
      <c r="I53" s="18"/>
      <c r="J53" s="18"/>
      <c r="K53" s="18"/>
      <c r="L53" s="31"/>
      <c r="M53" s="20"/>
      <c r="N53" s="20"/>
      <c r="O53" s="21"/>
      <c r="P53" s="22" t="str">
        <f aca="false">IF(B53="","",N53-M53)</f>
        <v/>
      </c>
      <c r="Q53" s="23" t="str">
        <f aca="false">IF(B53="","",IF(M53=0,"",P53/M53))</f>
        <v/>
      </c>
      <c r="R53" s="7" t="str">
        <f aca="false">IF(B53="","",IF(O53&lt;=設定!$C$6,IF(Q53&gt;=設定!$C$7,"I(コア)","II(回転)"),IF(Q53&gt;=設定!$C$7,"III(厳選)","IV(見送り)")))</f>
        <v/>
      </c>
      <c r="S53" s="23" t="str">
        <f aca="false">IF(B53="","",IF(K53="在庫中",IF($C$6=0,"",N53/$C$6),""))</f>
        <v/>
      </c>
      <c r="T53" s="18"/>
    </row>
    <row r="54" customFormat="false" ht="15" hidden="false" customHeight="false" outlineLevel="0" collapsed="false">
      <c r="A54" s="16" t="str">
        <f aca="false">IF(B54="","",ROW()-10)</f>
        <v/>
      </c>
      <c r="B54" s="18"/>
      <c r="C54" s="18"/>
      <c r="D54" s="18"/>
      <c r="E54" s="18"/>
      <c r="F54" s="19"/>
      <c r="G54" s="19"/>
      <c r="H54" s="19"/>
      <c r="I54" s="18"/>
      <c r="J54" s="18"/>
      <c r="K54" s="18"/>
      <c r="L54" s="31"/>
      <c r="M54" s="20"/>
      <c r="N54" s="20"/>
      <c r="O54" s="21"/>
      <c r="P54" s="22" t="str">
        <f aca="false">IF(B54="","",N54-M54)</f>
        <v/>
      </c>
      <c r="Q54" s="23" t="str">
        <f aca="false">IF(B54="","",IF(M54=0,"",P54/M54))</f>
        <v/>
      </c>
      <c r="R54" s="7" t="str">
        <f aca="false">IF(B54="","",IF(O54&lt;=設定!$C$6,IF(Q54&gt;=設定!$C$7,"I(コア)","II(回転)"),IF(Q54&gt;=設定!$C$7,"III(厳選)","IV(見送り)")))</f>
        <v/>
      </c>
      <c r="S54" s="23" t="str">
        <f aca="false">IF(B54="","",IF(K54="在庫中",IF($C$6=0,"",N54/$C$6),""))</f>
        <v/>
      </c>
      <c r="T54" s="18"/>
    </row>
    <row r="55" customFormat="false" ht="15" hidden="false" customHeight="false" outlineLevel="0" collapsed="false">
      <c r="A55" s="16" t="str">
        <f aca="false">IF(B55="","",ROW()-10)</f>
        <v/>
      </c>
      <c r="B55" s="18"/>
      <c r="C55" s="18"/>
      <c r="D55" s="18"/>
      <c r="E55" s="18"/>
      <c r="F55" s="19"/>
      <c r="G55" s="19"/>
      <c r="H55" s="19"/>
      <c r="I55" s="18"/>
      <c r="J55" s="18"/>
      <c r="K55" s="18"/>
      <c r="L55" s="31"/>
      <c r="M55" s="20"/>
      <c r="N55" s="20"/>
      <c r="O55" s="21"/>
      <c r="P55" s="22" t="str">
        <f aca="false">IF(B55="","",N55-M55)</f>
        <v/>
      </c>
      <c r="Q55" s="23" t="str">
        <f aca="false">IF(B55="","",IF(M55=0,"",P55/M55))</f>
        <v/>
      </c>
      <c r="R55" s="7" t="str">
        <f aca="false">IF(B55="","",IF(O55&lt;=設定!$C$6,IF(Q55&gt;=設定!$C$7,"I(コア)","II(回転)"),IF(Q55&gt;=設定!$C$7,"III(厳選)","IV(見送り)")))</f>
        <v/>
      </c>
      <c r="S55" s="23" t="str">
        <f aca="false">IF(B55="","",IF(K55="在庫中",IF($C$6=0,"",N55/$C$6),""))</f>
        <v/>
      </c>
      <c r="T55" s="18"/>
    </row>
    <row r="56" customFormat="false" ht="15" hidden="false" customHeight="false" outlineLevel="0" collapsed="false">
      <c r="A56" s="16" t="str">
        <f aca="false">IF(B56="","",ROW()-10)</f>
        <v/>
      </c>
      <c r="B56" s="18"/>
      <c r="C56" s="18"/>
      <c r="D56" s="18"/>
      <c r="E56" s="18"/>
      <c r="F56" s="19"/>
      <c r="G56" s="19"/>
      <c r="H56" s="19"/>
      <c r="I56" s="18"/>
      <c r="J56" s="18"/>
      <c r="K56" s="18"/>
      <c r="L56" s="31"/>
      <c r="M56" s="20"/>
      <c r="N56" s="20"/>
      <c r="O56" s="21"/>
      <c r="P56" s="22" t="str">
        <f aca="false">IF(B56="","",N56-M56)</f>
        <v/>
      </c>
      <c r="Q56" s="23" t="str">
        <f aca="false">IF(B56="","",IF(M56=0,"",P56/M56))</f>
        <v/>
      </c>
      <c r="R56" s="7" t="str">
        <f aca="false">IF(B56="","",IF(O56&lt;=設定!$C$6,IF(Q56&gt;=設定!$C$7,"I(コア)","II(回転)"),IF(Q56&gt;=設定!$C$7,"III(厳選)","IV(見送り)")))</f>
        <v/>
      </c>
      <c r="S56" s="23" t="str">
        <f aca="false">IF(B56="","",IF(K56="在庫中",IF($C$6=0,"",N56/$C$6),""))</f>
        <v/>
      </c>
      <c r="T56" s="18"/>
    </row>
    <row r="57" customFormat="false" ht="15" hidden="false" customHeight="false" outlineLevel="0" collapsed="false">
      <c r="A57" s="16" t="str">
        <f aca="false">IF(B57="","",ROW()-10)</f>
        <v/>
      </c>
      <c r="B57" s="18"/>
      <c r="C57" s="18"/>
      <c r="D57" s="18"/>
      <c r="E57" s="18"/>
      <c r="F57" s="19"/>
      <c r="G57" s="19"/>
      <c r="H57" s="19"/>
      <c r="I57" s="18"/>
      <c r="J57" s="18"/>
      <c r="K57" s="18"/>
      <c r="L57" s="31"/>
      <c r="M57" s="20"/>
      <c r="N57" s="20"/>
      <c r="O57" s="21"/>
      <c r="P57" s="22" t="str">
        <f aca="false">IF(B57="","",N57-M57)</f>
        <v/>
      </c>
      <c r="Q57" s="23" t="str">
        <f aca="false">IF(B57="","",IF(M57=0,"",P57/M57))</f>
        <v/>
      </c>
      <c r="R57" s="7" t="str">
        <f aca="false">IF(B57="","",IF(O57&lt;=設定!$C$6,IF(Q57&gt;=設定!$C$7,"I(コア)","II(回転)"),IF(Q57&gt;=設定!$C$7,"III(厳選)","IV(見送り)")))</f>
        <v/>
      </c>
      <c r="S57" s="23" t="str">
        <f aca="false">IF(B57="","",IF(K57="在庫中",IF($C$6=0,"",N57/$C$6),""))</f>
        <v/>
      </c>
      <c r="T57" s="18"/>
    </row>
    <row r="58" customFormat="false" ht="15" hidden="false" customHeight="false" outlineLevel="0" collapsed="false">
      <c r="A58" s="16" t="str">
        <f aca="false">IF(B58="","",ROW()-10)</f>
        <v/>
      </c>
      <c r="B58" s="18"/>
      <c r="C58" s="18"/>
      <c r="D58" s="18"/>
      <c r="E58" s="18"/>
      <c r="F58" s="19"/>
      <c r="G58" s="19"/>
      <c r="H58" s="19"/>
      <c r="I58" s="18"/>
      <c r="J58" s="18"/>
      <c r="K58" s="18"/>
      <c r="L58" s="31"/>
      <c r="M58" s="20"/>
      <c r="N58" s="20"/>
      <c r="O58" s="21"/>
      <c r="P58" s="22" t="str">
        <f aca="false">IF(B58="","",N58-M58)</f>
        <v/>
      </c>
      <c r="Q58" s="23" t="str">
        <f aca="false">IF(B58="","",IF(M58=0,"",P58/M58))</f>
        <v/>
      </c>
      <c r="R58" s="7" t="str">
        <f aca="false">IF(B58="","",IF(O58&lt;=設定!$C$6,IF(Q58&gt;=設定!$C$7,"I(コア)","II(回転)"),IF(Q58&gt;=設定!$C$7,"III(厳選)","IV(見送り)")))</f>
        <v/>
      </c>
      <c r="S58" s="23" t="str">
        <f aca="false">IF(B58="","",IF(K58="在庫中",IF($C$6=0,"",N58/$C$6),""))</f>
        <v/>
      </c>
      <c r="T58" s="18"/>
    </row>
    <row r="59" customFormat="false" ht="15" hidden="false" customHeight="false" outlineLevel="0" collapsed="false">
      <c r="A59" s="16" t="str">
        <f aca="false">IF(B59="","",ROW()-10)</f>
        <v/>
      </c>
      <c r="B59" s="18"/>
      <c r="C59" s="18"/>
      <c r="D59" s="18"/>
      <c r="E59" s="18"/>
      <c r="F59" s="19"/>
      <c r="G59" s="19"/>
      <c r="H59" s="19"/>
      <c r="I59" s="18"/>
      <c r="J59" s="18"/>
      <c r="K59" s="18"/>
      <c r="L59" s="31"/>
      <c r="M59" s="20"/>
      <c r="N59" s="20"/>
      <c r="O59" s="21"/>
      <c r="P59" s="22" t="str">
        <f aca="false">IF(B59="","",N59-M59)</f>
        <v/>
      </c>
      <c r="Q59" s="23" t="str">
        <f aca="false">IF(B59="","",IF(M59=0,"",P59/M59))</f>
        <v/>
      </c>
      <c r="R59" s="7" t="str">
        <f aca="false">IF(B59="","",IF(O59&lt;=設定!$C$6,IF(Q59&gt;=設定!$C$7,"I(コア)","II(回転)"),IF(Q59&gt;=設定!$C$7,"III(厳選)","IV(見送り)")))</f>
        <v/>
      </c>
      <c r="S59" s="23" t="str">
        <f aca="false">IF(B59="","",IF(K59="在庫中",IF($C$6=0,"",N59/$C$6),""))</f>
        <v/>
      </c>
      <c r="T59" s="18"/>
    </row>
    <row r="60" customFormat="false" ht="15" hidden="false" customHeight="false" outlineLevel="0" collapsed="false">
      <c r="A60" s="16" t="str">
        <f aca="false">IF(B60="","",ROW()-10)</f>
        <v/>
      </c>
      <c r="B60" s="18"/>
      <c r="C60" s="18"/>
      <c r="D60" s="18"/>
      <c r="E60" s="18"/>
      <c r="F60" s="19"/>
      <c r="G60" s="19"/>
      <c r="H60" s="19"/>
      <c r="I60" s="18"/>
      <c r="J60" s="18"/>
      <c r="K60" s="18"/>
      <c r="L60" s="31"/>
      <c r="M60" s="20"/>
      <c r="N60" s="20"/>
      <c r="O60" s="21"/>
      <c r="P60" s="22" t="str">
        <f aca="false">IF(B60="","",N60-M60)</f>
        <v/>
      </c>
      <c r="Q60" s="23" t="str">
        <f aca="false">IF(B60="","",IF(M60=0,"",P60/M60))</f>
        <v/>
      </c>
      <c r="R60" s="7" t="str">
        <f aca="false">IF(B60="","",IF(O60&lt;=設定!$C$6,IF(Q60&gt;=設定!$C$7,"I(コア)","II(回転)"),IF(Q60&gt;=設定!$C$7,"III(厳選)","IV(見送り)")))</f>
        <v/>
      </c>
      <c r="S60" s="23" t="str">
        <f aca="false">IF(B60="","",IF(K60="在庫中",IF($C$6=0,"",N60/$C$6),""))</f>
        <v/>
      </c>
      <c r="T60" s="18"/>
    </row>
    <row r="61" customFormat="false" ht="15" hidden="false" customHeight="false" outlineLevel="0" collapsed="false">
      <c r="A61" s="16" t="str">
        <f aca="false">IF(B61="","",ROW()-10)</f>
        <v/>
      </c>
      <c r="B61" s="18"/>
      <c r="C61" s="18"/>
      <c r="D61" s="18"/>
      <c r="E61" s="18"/>
      <c r="F61" s="19"/>
      <c r="G61" s="19"/>
      <c r="H61" s="19"/>
      <c r="I61" s="18"/>
      <c r="J61" s="18"/>
      <c r="K61" s="18"/>
      <c r="L61" s="31"/>
      <c r="M61" s="20"/>
      <c r="N61" s="20"/>
      <c r="O61" s="21"/>
      <c r="P61" s="22" t="str">
        <f aca="false">IF(B61="","",N61-M61)</f>
        <v/>
      </c>
      <c r="Q61" s="23" t="str">
        <f aca="false">IF(B61="","",IF(M61=0,"",P61/M61))</f>
        <v/>
      </c>
      <c r="R61" s="7" t="str">
        <f aca="false">IF(B61="","",IF(O61&lt;=設定!$C$6,IF(Q61&gt;=設定!$C$7,"I(コア)","II(回転)"),IF(Q61&gt;=設定!$C$7,"III(厳選)","IV(見送り)")))</f>
        <v/>
      </c>
      <c r="S61" s="23" t="str">
        <f aca="false">IF(B61="","",IF(K61="在庫中",IF($C$6=0,"",N61/$C$6),""))</f>
        <v/>
      </c>
      <c r="T61" s="18"/>
    </row>
    <row r="62" customFormat="false" ht="15" hidden="false" customHeight="false" outlineLevel="0" collapsed="false">
      <c r="A62" s="16" t="str">
        <f aca="false">IF(B62="","",ROW()-10)</f>
        <v/>
      </c>
      <c r="B62" s="18"/>
      <c r="C62" s="18"/>
      <c r="D62" s="18"/>
      <c r="E62" s="18"/>
      <c r="F62" s="19"/>
      <c r="G62" s="19"/>
      <c r="H62" s="19"/>
      <c r="I62" s="18"/>
      <c r="J62" s="18"/>
      <c r="K62" s="18"/>
      <c r="L62" s="31"/>
      <c r="M62" s="20"/>
      <c r="N62" s="20"/>
      <c r="O62" s="21"/>
      <c r="P62" s="22" t="str">
        <f aca="false">IF(B62="","",N62-M62)</f>
        <v/>
      </c>
      <c r="Q62" s="23" t="str">
        <f aca="false">IF(B62="","",IF(M62=0,"",P62/M62))</f>
        <v/>
      </c>
      <c r="R62" s="7" t="str">
        <f aca="false">IF(B62="","",IF(O62&lt;=設定!$C$6,IF(Q62&gt;=設定!$C$7,"I(コア)","II(回転)"),IF(Q62&gt;=設定!$C$7,"III(厳選)","IV(見送り)")))</f>
        <v/>
      </c>
      <c r="S62" s="23" t="str">
        <f aca="false">IF(B62="","",IF(K62="在庫中",IF($C$6=0,"",N62/$C$6),""))</f>
        <v/>
      </c>
      <c r="T62" s="18"/>
    </row>
    <row r="63" customFormat="false" ht="15" hidden="false" customHeight="false" outlineLevel="0" collapsed="false">
      <c r="A63" s="16" t="str">
        <f aca="false">IF(B63="","",ROW()-10)</f>
        <v/>
      </c>
      <c r="B63" s="18"/>
      <c r="C63" s="18"/>
      <c r="D63" s="18"/>
      <c r="E63" s="18"/>
      <c r="F63" s="19"/>
      <c r="G63" s="19"/>
      <c r="H63" s="19"/>
      <c r="I63" s="18"/>
      <c r="J63" s="18"/>
      <c r="K63" s="18"/>
      <c r="L63" s="31"/>
      <c r="M63" s="20"/>
      <c r="N63" s="20"/>
      <c r="O63" s="21"/>
      <c r="P63" s="22" t="str">
        <f aca="false">IF(B63="","",N63-M63)</f>
        <v/>
      </c>
      <c r="Q63" s="23" t="str">
        <f aca="false">IF(B63="","",IF(M63=0,"",P63/M63))</f>
        <v/>
      </c>
      <c r="R63" s="7" t="str">
        <f aca="false">IF(B63="","",IF(O63&lt;=設定!$C$6,IF(Q63&gt;=設定!$C$7,"I(コア)","II(回転)"),IF(Q63&gt;=設定!$C$7,"III(厳選)","IV(見送り)")))</f>
        <v/>
      </c>
      <c r="S63" s="23" t="str">
        <f aca="false">IF(B63="","",IF(K63="在庫中",IF($C$6=0,"",N63/$C$6),""))</f>
        <v/>
      </c>
      <c r="T63" s="18"/>
    </row>
    <row r="64" customFormat="false" ht="15" hidden="false" customHeight="false" outlineLevel="0" collapsed="false">
      <c r="A64" s="16" t="str">
        <f aca="false">IF(B64="","",ROW()-10)</f>
        <v/>
      </c>
      <c r="B64" s="18"/>
      <c r="C64" s="18"/>
      <c r="D64" s="18"/>
      <c r="E64" s="18"/>
      <c r="F64" s="19"/>
      <c r="G64" s="19"/>
      <c r="H64" s="19"/>
      <c r="I64" s="18"/>
      <c r="J64" s="18"/>
      <c r="K64" s="18"/>
      <c r="L64" s="31"/>
      <c r="M64" s="20"/>
      <c r="N64" s="20"/>
      <c r="O64" s="21"/>
      <c r="P64" s="22" t="str">
        <f aca="false">IF(B64="","",N64-M64)</f>
        <v/>
      </c>
      <c r="Q64" s="23" t="str">
        <f aca="false">IF(B64="","",IF(M64=0,"",P64/M64))</f>
        <v/>
      </c>
      <c r="R64" s="7" t="str">
        <f aca="false">IF(B64="","",IF(O64&lt;=設定!$C$6,IF(Q64&gt;=設定!$C$7,"I(コア)","II(回転)"),IF(Q64&gt;=設定!$C$7,"III(厳選)","IV(見送り)")))</f>
        <v/>
      </c>
      <c r="S64" s="23" t="str">
        <f aca="false">IF(B64="","",IF(K64="在庫中",IF($C$6=0,"",N64/$C$6),""))</f>
        <v/>
      </c>
      <c r="T64" s="18"/>
    </row>
    <row r="65" customFormat="false" ht="15" hidden="false" customHeight="false" outlineLevel="0" collapsed="false">
      <c r="A65" s="16" t="str">
        <f aca="false">IF(B65="","",ROW()-10)</f>
        <v/>
      </c>
      <c r="B65" s="18"/>
      <c r="C65" s="18"/>
      <c r="D65" s="18"/>
      <c r="E65" s="18"/>
      <c r="F65" s="19"/>
      <c r="G65" s="19"/>
      <c r="H65" s="19"/>
      <c r="I65" s="18"/>
      <c r="J65" s="18"/>
      <c r="K65" s="18"/>
      <c r="L65" s="31"/>
      <c r="M65" s="20"/>
      <c r="N65" s="20"/>
      <c r="O65" s="21"/>
      <c r="P65" s="22" t="str">
        <f aca="false">IF(B65="","",N65-M65)</f>
        <v/>
      </c>
      <c r="Q65" s="23" t="str">
        <f aca="false">IF(B65="","",IF(M65=0,"",P65/M65))</f>
        <v/>
      </c>
      <c r="R65" s="7" t="str">
        <f aca="false">IF(B65="","",IF(O65&lt;=設定!$C$6,IF(Q65&gt;=設定!$C$7,"I(コア)","II(回転)"),IF(Q65&gt;=設定!$C$7,"III(厳選)","IV(見送り)")))</f>
        <v/>
      </c>
      <c r="S65" s="23" t="str">
        <f aca="false">IF(B65="","",IF(K65="在庫中",IF($C$6=0,"",N65/$C$6),""))</f>
        <v/>
      </c>
      <c r="T65" s="18"/>
    </row>
    <row r="66" customFormat="false" ht="15" hidden="false" customHeight="false" outlineLevel="0" collapsed="false">
      <c r="A66" s="16" t="str">
        <f aca="false">IF(B66="","",ROW()-10)</f>
        <v/>
      </c>
      <c r="B66" s="18"/>
      <c r="C66" s="18"/>
      <c r="D66" s="18"/>
      <c r="E66" s="18"/>
      <c r="F66" s="19"/>
      <c r="G66" s="19"/>
      <c r="H66" s="19"/>
      <c r="I66" s="18"/>
      <c r="J66" s="18"/>
      <c r="K66" s="18"/>
      <c r="L66" s="31"/>
      <c r="M66" s="20"/>
      <c r="N66" s="20"/>
      <c r="O66" s="21"/>
      <c r="P66" s="22" t="str">
        <f aca="false">IF(B66="","",N66-M66)</f>
        <v/>
      </c>
      <c r="Q66" s="23" t="str">
        <f aca="false">IF(B66="","",IF(M66=0,"",P66/M66))</f>
        <v/>
      </c>
      <c r="R66" s="7" t="str">
        <f aca="false">IF(B66="","",IF(O66&lt;=設定!$C$6,IF(Q66&gt;=設定!$C$7,"I(コア)","II(回転)"),IF(Q66&gt;=設定!$C$7,"III(厳選)","IV(見送り)")))</f>
        <v/>
      </c>
      <c r="S66" s="23" t="str">
        <f aca="false">IF(B66="","",IF(K66="在庫中",IF($C$6=0,"",N66/$C$6),""))</f>
        <v/>
      </c>
      <c r="T66" s="18"/>
    </row>
    <row r="67" customFormat="false" ht="15" hidden="false" customHeight="false" outlineLevel="0" collapsed="false">
      <c r="A67" s="16" t="str">
        <f aca="false">IF(B67="","",ROW()-10)</f>
        <v/>
      </c>
      <c r="B67" s="18"/>
      <c r="C67" s="18"/>
      <c r="D67" s="18"/>
      <c r="E67" s="18"/>
      <c r="F67" s="19"/>
      <c r="G67" s="19"/>
      <c r="H67" s="19"/>
      <c r="I67" s="18"/>
      <c r="J67" s="18"/>
      <c r="K67" s="18"/>
      <c r="L67" s="31"/>
      <c r="M67" s="20"/>
      <c r="N67" s="20"/>
      <c r="O67" s="21"/>
      <c r="P67" s="22" t="str">
        <f aca="false">IF(B67="","",N67-M67)</f>
        <v/>
      </c>
      <c r="Q67" s="23" t="str">
        <f aca="false">IF(B67="","",IF(M67=0,"",P67/M67))</f>
        <v/>
      </c>
      <c r="R67" s="7" t="str">
        <f aca="false">IF(B67="","",IF(O67&lt;=設定!$C$6,IF(Q67&gt;=設定!$C$7,"I(コア)","II(回転)"),IF(Q67&gt;=設定!$C$7,"III(厳選)","IV(見送り)")))</f>
        <v/>
      </c>
      <c r="S67" s="23" t="str">
        <f aca="false">IF(B67="","",IF(K67="在庫中",IF($C$6=0,"",N67/$C$6),""))</f>
        <v/>
      </c>
      <c r="T67" s="18"/>
    </row>
    <row r="68" customFormat="false" ht="15" hidden="false" customHeight="false" outlineLevel="0" collapsed="false">
      <c r="A68" s="16" t="str">
        <f aca="false">IF(B68="","",ROW()-10)</f>
        <v/>
      </c>
      <c r="B68" s="18"/>
      <c r="C68" s="18"/>
      <c r="D68" s="18"/>
      <c r="E68" s="18"/>
      <c r="F68" s="19"/>
      <c r="G68" s="19"/>
      <c r="H68" s="19"/>
      <c r="I68" s="18"/>
      <c r="J68" s="18"/>
      <c r="K68" s="18"/>
      <c r="L68" s="31"/>
      <c r="M68" s="20"/>
      <c r="N68" s="20"/>
      <c r="O68" s="21"/>
      <c r="P68" s="22" t="str">
        <f aca="false">IF(B68="","",N68-M68)</f>
        <v/>
      </c>
      <c r="Q68" s="23" t="str">
        <f aca="false">IF(B68="","",IF(M68=0,"",P68/M68))</f>
        <v/>
      </c>
      <c r="R68" s="7" t="str">
        <f aca="false">IF(B68="","",IF(O68&lt;=設定!$C$6,IF(Q68&gt;=設定!$C$7,"I(コア)","II(回転)"),IF(Q68&gt;=設定!$C$7,"III(厳選)","IV(見送り)")))</f>
        <v/>
      </c>
      <c r="S68" s="23" t="str">
        <f aca="false">IF(B68="","",IF(K68="在庫中",IF($C$6=0,"",N68/$C$6),""))</f>
        <v/>
      </c>
      <c r="T68" s="18"/>
    </row>
    <row r="69" customFormat="false" ht="15" hidden="false" customHeight="false" outlineLevel="0" collapsed="false">
      <c r="A69" s="16" t="str">
        <f aca="false">IF(B69="","",ROW()-10)</f>
        <v/>
      </c>
      <c r="B69" s="18"/>
      <c r="C69" s="18"/>
      <c r="D69" s="18"/>
      <c r="E69" s="18"/>
      <c r="F69" s="19"/>
      <c r="G69" s="19"/>
      <c r="H69" s="19"/>
      <c r="I69" s="18"/>
      <c r="J69" s="18"/>
      <c r="K69" s="18"/>
      <c r="L69" s="31"/>
      <c r="M69" s="20"/>
      <c r="N69" s="20"/>
      <c r="O69" s="21"/>
      <c r="P69" s="22" t="str">
        <f aca="false">IF(B69="","",N69-M69)</f>
        <v/>
      </c>
      <c r="Q69" s="23" t="str">
        <f aca="false">IF(B69="","",IF(M69=0,"",P69/M69))</f>
        <v/>
      </c>
      <c r="R69" s="7" t="str">
        <f aca="false">IF(B69="","",IF(O69&lt;=設定!$C$6,IF(Q69&gt;=設定!$C$7,"I(コア)","II(回転)"),IF(Q69&gt;=設定!$C$7,"III(厳選)","IV(見送り)")))</f>
        <v/>
      </c>
      <c r="S69" s="23" t="str">
        <f aca="false">IF(B69="","",IF(K69="在庫中",IF($C$6=0,"",N69/$C$6),""))</f>
        <v/>
      </c>
      <c r="T69" s="18"/>
    </row>
    <row r="70" customFormat="false" ht="15" hidden="false" customHeight="false" outlineLevel="0" collapsed="false">
      <c r="A70" s="16" t="str">
        <f aca="false">IF(B70="","",ROW()-10)</f>
        <v/>
      </c>
      <c r="B70" s="18"/>
      <c r="C70" s="18"/>
      <c r="D70" s="18"/>
      <c r="E70" s="18"/>
      <c r="F70" s="19"/>
      <c r="G70" s="19"/>
      <c r="H70" s="19"/>
      <c r="I70" s="18"/>
      <c r="J70" s="18"/>
      <c r="K70" s="18"/>
      <c r="L70" s="31"/>
      <c r="M70" s="20"/>
      <c r="N70" s="20"/>
      <c r="O70" s="21"/>
      <c r="P70" s="22" t="str">
        <f aca="false">IF(B70="","",N70-M70)</f>
        <v/>
      </c>
      <c r="Q70" s="23" t="str">
        <f aca="false">IF(B70="","",IF(M70=0,"",P70/M70))</f>
        <v/>
      </c>
      <c r="R70" s="7" t="str">
        <f aca="false">IF(B70="","",IF(O70&lt;=設定!$C$6,IF(Q70&gt;=設定!$C$7,"I(コア)","II(回転)"),IF(Q70&gt;=設定!$C$7,"III(厳選)","IV(見送り)")))</f>
        <v/>
      </c>
      <c r="S70" s="23" t="str">
        <f aca="false">IF(B70="","",IF(K70="在庫中",IF($C$6=0,"",N70/$C$6),""))</f>
        <v/>
      </c>
      <c r="T70" s="18"/>
    </row>
    <row r="71" customFormat="false" ht="15" hidden="false" customHeight="false" outlineLevel="0" collapsed="false">
      <c r="A71" s="16" t="str">
        <f aca="false">IF(B71="","",ROW()-10)</f>
        <v/>
      </c>
      <c r="B71" s="18"/>
      <c r="C71" s="18"/>
      <c r="D71" s="18"/>
      <c r="E71" s="18"/>
      <c r="F71" s="19"/>
      <c r="G71" s="19"/>
      <c r="H71" s="19"/>
      <c r="I71" s="18"/>
      <c r="J71" s="18"/>
      <c r="K71" s="18"/>
      <c r="L71" s="31"/>
      <c r="M71" s="20"/>
      <c r="N71" s="20"/>
      <c r="O71" s="21"/>
      <c r="P71" s="22" t="str">
        <f aca="false">IF(B71="","",N71-M71)</f>
        <v/>
      </c>
      <c r="Q71" s="23" t="str">
        <f aca="false">IF(B71="","",IF(M71=0,"",P71/M71))</f>
        <v/>
      </c>
      <c r="R71" s="7" t="str">
        <f aca="false">IF(B71="","",IF(O71&lt;=設定!$C$6,IF(Q71&gt;=設定!$C$7,"I(コア)","II(回転)"),IF(Q71&gt;=設定!$C$7,"III(厳選)","IV(見送り)")))</f>
        <v/>
      </c>
      <c r="S71" s="23" t="str">
        <f aca="false">IF(B71="","",IF(K71="在庫中",IF($C$6=0,"",N71/$C$6),""))</f>
        <v/>
      </c>
      <c r="T71" s="18"/>
    </row>
    <row r="72" customFormat="false" ht="15" hidden="false" customHeight="false" outlineLevel="0" collapsed="false">
      <c r="A72" s="16" t="str">
        <f aca="false">IF(B72="","",ROW()-10)</f>
        <v/>
      </c>
      <c r="B72" s="18"/>
      <c r="C72" s="18"/>
      <c r="D72" s="18"/>
      <c r="E72" s="18"/>
      <c r="F72" s="19"/>
      <c r="G72" s="19"/>
      <c r="H72" s="19"/>
      <c r="I72" s="18"/>
      <c r="J72" s="18"/>
      <c r="K72" s="18"/>
      <c r="L72" s="31"/>
      <c r="M72" s="20"/>
      <c r="N72" s="20"/>
      <c r="O72" s="21"/>
      <c r="P72" s="22" t="str">
        <f aca="false">IF(B72="","",N72-M72)</f>
        <v/>
      </c>
      <c r="Q72" s="23" t="str">
        <f aca="false">IF(B72="","",IF(M72=0,"",P72/M72))</f>
        <v/>
      </c>
      <c r="R72" s="7" t="str">
        <f aca="false">IF(B72="","",IF(O72&lt;=設定!$C$6,IF(Q72&gt;=設定!$C$7,"I(コア)","II(回転)"),IF(Q72&gt;=設定!$C$7,"III(厳選)","IV(見送り)")))</f>
        <v/>
      </c>
      <c r="S72" s="23" t="str">
        <f aca="false">IF(B72="","",IF(K72="在庫中",IF($C$6=0,"",N72/$C$6),""))</f>
        <v/>
      </c>
      <c r="T72" s="18"/>
    </row>
    <row r="73" customFormat="false" ht="15" hidden="false" customHeight="false" outlineLevel="0" collapsed="false">
      <c r="A73" s="16" t="str">
        <f aca="false">IF(B73="","",ROW()-10)</f>
        <v/>
      </c>
      <c r="B73" s="18"/>
      <c r="C73" s="18"/>
      <c r="D73" s="18"/>
      <c r="E73" s="18"/>
      <c r="F73" s="19"/>
      <c r="G73" s="19"/>
      <c r="H73" s="19"/>
      <c r="I73" s="18"/>
      <c r="J73" s="18"/>
      <c r="K73" s="18"/>
      <c r="L73" s="31"/>
      <c r="M73" s="20"/>
      <c r="N73" s="20"/>
      <c r="O73" s="21"/>
      <c r="P73" s="22" t="str">
        <f aca="false">IF(B73="","",N73-M73)</f>
        <v/>
      </c>
      <c r="Q73" s="23" t="str">
        <f aca="false">IF(B73="","",IF(M73=0,"",P73/M73))</f>
        <v/>
      </c>
      <c r="R73" s="7" t="str">
        <f aca="false">IF(B73="","",IF(O73&lt;=設定!$C$6,IF(Q73&gt;=設定!$C$7,"I(コア)","II(回転)"),IF(Q73&gt;=設定!$C$7,"III(厳選)","IV(見送り)")))</f>
        <v/>
      </c>
      <c r="S73" s="23" t="str">
        <f aca="false">IF(B73="","",IF(K73="在庫中",IF($C$6=0,"",N73/$C$6),""))</f>
        <v/>
      </c>
      <c r="T73" s="18"/>
    </row>
    <row r="74" customFormat="false" ht="15" hidden="false" customHeight="false" outlineLevel="0" collapsed="false">
      <c r="A74" s="16" t="str">
        <f aca="false">IF(B74="","",ROW()-10)</f>
        <v/>
      </c>
      <c r="B74" s="18"/>
      <c r="C74" s="18"/>
      <c r="D74" s="18"/>
      <c r="E74" s="18"/>
      <c r="F74" s="19"/>
      <c r="G74" s="19"/>
      <c r="H74" s="19"/>
      <c r="I74" s="18"/>
      <c r="J74" s="18"/>
      <c r="K74" s="18"/>
      <c r="L74" s="31"/>
      <c r="M74" s="20"/>
      <c r="N74" s="20"/>
      <c r="O74" s="21"/>
      <c r="P74" s="22" t="str">
        <f aca="false">IF(B74="","",N74-M74)</f>
        <v/>
      </c>
      <c r="Q74" s="23" t="str">
        <f aca="false">IF(B74="","",IF(M74=0,"",P74/M74))</f>
        <v/>
      </c>
      <c r="R74" s="7" t="str">
        <f aca="false">IF(B74="","",IF(O74&lt;=設定!$C$6,IF(Q74&gt;=設定!$C$7,"I(コア)","II(回転)"),IF(Q74&gt;=設定!$C$7,"III(厳選)","IV(見送り)")))</f>
        <v/>
      </c>
      <c r="S74" s="23" t="str">
        <f aca="false">IF(B74="","",IF(K74="在庫中",IF($C$6=0,"",N74/$C$6),""))</f>
        <v/>
      </c>
      <c r="T74" s="18"/>
    </row>
    <row r="75" customFormat="false" ht="15" hidden="false" customHeight="false" outlineLevel="0" collapsed="false">
      <c r="A75" s="16" t="str">
        <f aca="false">IF(B75="","",ROW()-10)</f>
        <v/>
      </c>
      <c r="B75" s="18"/>
      <c r="C75" s="18"/>
      <c r="D75" s="18"/>
      <c r="E75" s="18"/>
      <c r="F75" s="19"/>
      <c r="G75" s="19"/>
      <c r="H75" s="19"/>
      <c r="I75" s="18"/>
      <c r="J75" s="18"/>
      <c r="K75" s="18"/>
      <c r="L75" s="31"/>
      <c r="M75" s="20"/>
      <c r="N75" s="20"/>
      <c r="O75" s="21"/>
      <c r="P75" s="22" t="str">
        <f aca="false">IF(B75="","",N75-M75)</f>
        <v/>
      </c>
      <c r="Q75" s="23" t="str">
        <f aca="false">IF(B75="","",IF(M75=0,"",P75/M75))</f>
        <v/>
      </c>
      <c r="R75" s="7" t="str">
        <f aca="false">IF(B75="","",IF(O75&lt;=設定!$C$6,IF(Q75&gt;=設定!$C$7,"I(コア)","II(回転)"),IF(Q75&gt;=設定!$C$7,"III(厳選)","IV(見送り)")))</f>
        <v/>
      </c>
      <c r="S75" s="23" t="str">
        <f aca="false">IF(B75="","",IF(K75="在庫中",IF($C$6=0,"",N75/$C$6),""))</f>
        <v/>
      </c>
      <c r="T75" s="18"/>
    </row>
    <row r="76" customFormat="false" ht="15" hidden="false" customHeight="false" outlineLevel="0" collapsed="false">
      <c r="A76" s="16" t="str">
        <f aca="false">IF(B76="","",ROW()-10)</f>
        <v/>
      </c>
      <c r="B76" s="18"/>
      <c r="C76" s="18"/>
      <c r="D76" s="18"/>
      <c r="E76" s="18"/>
      <c r="F76" s="19"/>
      <c r="G76" s="19"/>
      <c r="H76" s="19"/>
      <c r="I76" s="18"/>
      <c r="J76" s="18"/>
      <c r="K76" s="18"/>
      <c r="L76" s="31"/>
      <c r="M76" s="20"/>
      <c r="N76" s="20"/>
      <c r="O76" s="21"/>
      <c r="P76" s="22" t="str">
        <f aca="false">IF(B76="","",N76-M76)</f>
        <v/>
      </c>
      <c r="Q76" s="23" t="str">
        <f aca="false">IF(B76="","",IF(M76=0,"",P76/M76))</f>
        <v/>
      </c>
      <c r="R76" s="7" t="str">
        <f aca="false">IF(B76="","",IF(O76&lt;=設定!$C$6,IF(Q76&gt;=設定!$C$7,"I(コア)","II(回転)"),IF(Q76&gt;=設定!$C$7,"III(厳選)","IV(見送り)")))</f>
        <v/>
      </c>
      <c r="S76" s="23" t="str">
        <f aca="false">IF(B76="","",IF(K76="在庫中",IF($C$6=0,"",N76/$C$6),""))</f>
        <v/>
      </c>
      <c r="T76" s="18"/>
    </row>
    <row r="77" customFormat="false" ht="15" hidden="false" customHeight="false" outlineLevel="0" collapsed="false">
      <c r="A77" s="16" t="str">
        <f aca="false">IF(B77="","",ROW()-10)</f>
        <v/>
      </c>
      <c r="B77" s="18"/>
      <c r="C77" s="18"/>
      <c r="D77" s="18"/>
      <c r="E77" s="18"/>
      <c r="F77" s="19"/>
      <c r="G77" s="19"/>
      <c r="H77" s="19"/>
      <c r="I77" s="18"/>
      <c r="J77" s="18"/>
      <c r="K77" s="18"/>
      <c r="L77" s="31"/>
      <c r="M77" s="20"/>
      <c r="N77" s="20"/>
      <c r="O77" s="21"/>
      <c r="P77" s="22" t="str">
        <f aca="false">IF(B77="","",N77-M77)</f>
        <v/>
      </c>
      <c r="Q77" s="23" t="str">
        <f aca="false">IF(B77="","",IF(M77=0,"",P77/M77))</f>
        <v/>
      </c>
      <c r="R77" s="7" t="str">
        <f aca="false">IF(B77="","",IF(O77&lt;=設定!$C$6,IF(Q77&gt;=設定!$C$7,"I(コア)","II(回転)"),IF(Q77&gt;=設定!$C$7,"III(厳選)","IV(見送り)")))</f>
        <v/>
      </c>
      <c r="S77" s="23" t="str">
        <f aca="false">IF(B77="","",IF(K77="在庫中",IF($C$6=0,"",N77/$C$6),""))</f>
        <v/>
      </c>
      <c r="T77" s="18"/>
    </row>
    <row r="78" customFormat="false" ht="15" hidden="false" customHeight="false" outlineLevel="0" collapsed="false">
      <c r="A78" s="16" t="str">
        <f aca="false">IF(B78="","",ROW()-10)</f>
        <v/>
      </c>
      <c r="B78" s="18"/>
      <c r="C78" s="18"/>
      <c r="D78" s="18"/>
      <c r="E78" s="18"/>
      <c r="F78" s="19"/>
      <c r="G78" s="19"/>
      <c r="H78" s="19"/>
      <c r="I78" s="18"/>
      <c r="J78" s="18"/>
      <c r="K78" s="18"/>
      <c r="L78" s="31"/>
      <c r="M78" s="20"/>
      <c r="N78" s="20"/>
      <c r="O78" s="21"/>
      <c r="P78" s="22" t="str">
        <f aca="false">IF(B78="","",N78-M78)</f>
        <v/>
      </c>
      <c r="Q78" s="23" t="str">
        <f aca="false">IF(B78="","",IF(M78=0,"",P78/M78))</f>
        <v/>
      </c>
      <c r="R78" s="7" t="str">
        <f aca="false">IF(B78="","",IF(O78&lt;=設定!$C$6,IF(Q78&gt;=設定!$C$7,"I(コア)","II(回転)"),IF(Q78&gt;=設定!$C$7,"III(厳選)","IV(見送り)")))</f>
        <v/>
      </c>
      <c r="S78" s="23" t="str">
        <f aca="false">IF(B78="","",IF(K78="在庫中",IF($C$6=0,"",N78/$C$6),""))</f>
        <v/>
      </c>
      <c r="T78" s="18"/>
    </row>
    <row r="79" customFormat="false" ht="15" hidden="false" customHeight="false" outlineLevel="0" collapsed="false">
      <c r="A79" s="16" t="str">
        <f aca="false">IF(B79="","",ROW()-10)</f>
        <v/>
      </c>
      <c r="B79" s="18"/>
      <c r="C79" s="18"/>
      <c r="D79" s="18"/>
      <c r="E79" s="18"/>
      <c r="F79" s="19"/>
      <c r="G79" s="19"/>
      <c r="H79" s="19"/>
      <c r="I79" s="18"/>
      <c r="J79" s="18"/>
      <c r="K79" s="18"/>
      <c r="L79" s="31"/>
      <c r="M79" s="20"/>
      <c r="N79" s="20"/>
      <c r="O79" s="21"/>
      <c r="P79" s="22" t="str">
        <f aca="false">IF(B79="","",N79-M79)</f>
        <v/>
      </c>
      <c r="Q79" s="23" t="str">
        <f aca="false">IF(B79="","",IF(M79=0,"",P79/M79))</f>
        <v/>
      </c>
      <c r="R79" s="7" t="str">
        <f aca="false">IF(B79="","",IF(O79&lt;=設定!$C$6,IF(Q79&gt;=設定!$C$7,"I(コア)","II(回転)"),IF(Q79&gt;=設定!$C$7,"III(厳選)","IV(見送り)")))</f>
        <v/>
      </c>
      <c r="S79" s="23" t="str">
        <f aca="false">IF(B79="","",IF(K79="在庫中",IF($C$6=0,"",N79/$C$6),""))</f>
        <v/>
      </c>
      <c r="T79" s="18"/>
    </row>
    <row r="80" customFormat="false" ht="15" hidden="false" customHeight="false" outlineLevel="0" collapsed="false">
      <c r="A80" s="16" t="str">
        <f aca="false">IF(B80="","",ROW()-10)</f>
        <v/>
      </c>
      <c r="B80" s="18"/>
      <c r="C80" s="18"/>
      <c r="D80" s="18"/>
      <c r="E80" s="18"/>
      <c r="F80" s="19"/>
      <c r="G80" s="19"/>
      <c r="H80" s="19"/>
      <c r="I80" s="18"/>
      <c r="J80" s="18"/>
      <c r="K80" s="18"/>
      <c r="L80" s="31"/>
      <c r="M80" s="20"/>
      <c r="N80" s="20"/>
      <c r="O80" s="21"/>
      <c r="P80" s="22" t="str">
        <f aca="false">IF(B80="","",N80-M80)</f>
        <v/>
      </c>
      <c r="Q80" s="23" t="str">
        <f aca="false">IF(B80="","",IF(M80=0,"",P80/M80))</f>
        <v/>
      </c>
      <c r="R80" s="7" t="str">
        <f aca="false">IF(B80="","",IF(O80&lt;=設定!$C$6,IF(Q80&gt;=設定!$C$7,"I(コア)","II(回転)"),IF(Q80&gt;=設定!$C$7,"III(厳選)","IV(見送り)")))</f>
        <v/>
      </c>
      <c r="S80" s="23" t="str">
        <f aca="false">IF(B80="","",IF(K80="在庫中",IF($C$6=0,"",N80/$C$6),""))</f>
        <v/>
      </c>
      <c r="T80" s="18"/>
    </row>
    <row r="81" customFormat="false" ht="15" hidden="false" customHeight="false" outlineLevel="0" collapsed="false">
      <c r="A81" s="16" t="str">
        <f aca="false">IF(B81="","",ROW()-10)</f>
        <v/>
      </c>
      <c r="B81" s="18"/>
      <c r="C81" s="18"/>
      <c r="D81" s="18"/>
      <c r="E81" s="18"/>
      <c r="F81" s="19"/>
      <c r="G81" s="19"/>
      <c r="H81" s="19"/>
      <c r="I81" s="18"/>
      <c r="J81" s="18"/>
      <c r="K81" s="18"/>
      <c r="L81" s="31"/>
      <c r="M81" s="20"/>
      <c r="N81" s="20"/>
      <c r="O81" s="21"/>
      <c r="P81" s="22" t="str">
        <f aca="false">IF(B81="","",N81-M81)</f>
        <v/>
      </c>
      <c r="Q81" s="23" t="str">
        <f aca="false">IF(B81="","",IF(M81=0,"",P81/M81))</f>
        <v/>
      </c>
      <c r="R81" s="7" t="str">
        <f aca="false">IF(B81="","",IF(O81&lt;=設定!$C$6,IF(Q81&gt;=設定!$C$7,"I(コア)","II(回転)"),IF(Q81&gt;=設定!$C$7,"III(厳選)","IV(見送り)")))</f>
        <v/>
      </c>
      <c r="S81" s="23" t="str">
        <f aca="false">IF(B81="","",IF(K81="在庫中",IF($C$6=0,"",N81/$C$6),""))</f>
        <v/>
      </c>
      <c r="T81" s="18"/>
    </row>
    <row r="82" customFormat="false" ht="15" hidden="false" customHeight="false" outlineLevel="0" collapsed="false">
      <c r="A82" s="16" t="str">
        <f aca="false">IF(B82="","",ROW()-10)</f>
        <v/>
      </c>
      <c r="B82" s="18"/>
      <c r="C82" s="18"/>
      <c r="D82" s="18"/>
      <c r="E82" s="18"/>
      <c r="F82" s="19"/>
      <c r="G82" s="19"/>
      <c r="H82" s="19"/>
      <c r="I82" s="18"/>
      <c r="J82" s="18"/>
      <c r="K82" s="18"/>
      <c r="L82" s="31"/>
      <c r="M82" s="20"/>
      <c r="N82" s="20"/>
      <c r="O82" s="21"/>
      <c r="P82" s="22" t="str">
        <f aca="false">IF(B82="","",N82-M82)</f>
        <v/>
      </c>
      <c r="Q82" s="23" t="str">
        <f aca="false">IF(B82="","",IF(M82=0,"",P82/M82))</f>
        <v/>
      </c>
      <c r="R82" s="7" t="str">
        <f aca="false">IF(B82="","",IF(O82&lt;=設定!$C$6,IF(Q82&gt;=設定!$C$7,"I(コア)","II(回転)"),IF(Q82&gt;=設定!$C$7,"III(厳選)","IV(見送り)")))</f>
        <v/>
      </c>
      <c r="S82" s="23" t="str">
        <f aca="false">IF(B82="","",IF(K82="在庫中",IF($C$6=0,"",N82/$C$6),""))</f>
        <v/>
      </c>
      <c r="T82" s="18"/>
    </row>
    <row r="83" customFormat="false" ht="15" hidden="false" customHeight="false" outlineLevel="0" collapsed="false">
      <c r="A83" s="16" t="str">
        <f aca="false">IF(B83="","",ROW()-10)</f>
        <v/>
      </c>
      <c r="B83" s="18"/>
      <c r="C83" s="18"/>
      <c r="D83" s="18"/>
      <c r="E83" s="18"/>
      <c r="F83" s="19"/>
      <c r="G83" s="19"/>
      <c r="H83" s="19"/>
      <c r="I83" s="18"/>
      <c r="J83" s="18"/>
      <c r="K83" s="18"/>
      <c r="L83" s="31"/>
      <c r="M83" s="20"/>
      <c r="N83" s="20"/>
      <c r="O83" s="21"/>
      <c r="P83" s="22" t="str">
        <f aca="false">IF(B83="","",N83-M83)</f>
        <v/>
      </c>
      <c r="Q83" s="23" t="str">
        <f aca="false">IF(B83="","",IF(M83=0,"",P83/M83))</f>
        <v/>
      </c>
      <c r="R83" s="7" t="str">
        <f aca="false">IF(B83="","",IF(O83&lt;=設定!$C$6,IF(Q83&gt;=設定!$C$7,"I(コア)","II(回転)"),IF(Q83&gt;=設定!$C$7,"III(厳選)","IV(見送り)")))</f>
        <v/>
      </c>
      <c r="S83" s="23" t="str">
        <f aca="false">IF(B83="","",IF(K83="在庫中",IF($C$6=0,"",N83/$C$6),""))</f>
        <v/>
      </c>
      <c r="T83" s="18"/>
    </row>
    <row r="84" customFormat="false" ht="15" hidden="false" customHeight="false" outlineLevel="0" collapsed="false">
      <c r="A84" s="16" t="str">
        <f aca="false">IF(B84="","",ROW()-10)</f>
        <v/>
      </c>
      <c r="B84" s="18"/>
      <c r="C84" s="18"/>
      <c r="D84" s="18"/>
      <c r="E84" s="18"/>
      <c r="F84" s="19"/>
      <c r="G84" s="19"/>
      <c r="H84" s="19"/>
      <c r="I84" s="18"/>
      <c r="J84" s="18"/>
      <c r="K84" s="18"/>
      <c r="L84" s="31"/>
      <c r="M84" s="20"/>
      <c r="N84" s="20"/>
      <c r="O84" s="21"/>
      <c r="P84" s="22" t="str">
        <f aca="false">IF(B84="","",N84-M84)</f>
        <v/>
      </c>
      <c r="Q84" s="23" t="str">
        <f aca="false">IF(B84="","",IF(M84=0,"",P84/M84))</f>
        <v/>
      </c>
      <c r="R84" s="7" t="str">
        <f aca="false">IF(B84="","",IF(O84&lt;=設定!$C$6,IF(Q84&gt;=設定!$C$7,"I(コア)","II(回転)"),IF(Q84&gt;=設定!$C$7,"III(厳選)","IV(見送り)")))</f>
        <v/>
      </c>
      <c r="S84" s="23" t="str">
        <f aca="false">IF(B84="","",IF(K84="在庫中",IF($C$6=0,"",N84/$C$6),""))</f>
        <v/>
      </c>
      <c r="T84" s="18"/>
    </row>
    <row r="85" customFormat="false" ht="15" hidden="false" customHeight="false" outlineLevel="0" collapsed="false">
      <c r="A85" s="16" t="str">
        <f aca="false">IF(B85="","",ROW()-10)</f>
        <v/>
      </c>
      <c r="B85" s="18"/>
      <c r="C85" s="18"/>
      <c r="D85" s="18"/>
      <c r="E85" s="18"/>
      <c r="F85" s="19"/>
      <c r="G85" s="19"/>
      <c r="H85" s="19"/>
      <c r="I85" s="18"/>
      <c r="J85" s="18"/>
      <c r="K85" s="18"/>
      <c r="L85" s="31"/>
      <c r="M85" s="20"/>
      <c r="N85" s="20"/>
      <c r="O85" s="21"/>
      <c r="P85" s="22" t="str">
        <f aca="false">IF(B85="","",N85-M85)</f>
        <v/>
      </c>
      <c r="Q85" s="23" t="str">
        <f aca="false">IF(B85="","",IF(M85=0,"",P85/M85))</f>
        <v/>
      </c>
      <c r="R85" s="7" t="str">
        <f aca="false">IF(B85="","",IF(O85&lt;=設定!$C$6,IF(Q85&gt;=設定!$C$7,"I(コア)","II(回転)"),IF(Q85&gt;=設定!$C$7,"III(厳選)","IV(見送り)")))</f>
        <v/>
      </c>
      <c r="S85" s="23" t="str">
        <f aca="false">IF(B85="","",IF(K85="在庫中",IF($C$6=0,"",N85/$C$6),""))</f>
        <v/>
      </c>
      <c r="T85" s="18"/>
    </row>
    <row r="86" customFormat="false" ht="15" hidden="false" customHeight="false" outlineLevel="0" collapsed="false">
      <c r="A86" s="16" t="str">
        <f aca="false">IF(B86="","",ROW()-10)</f>
        <v/>
      </c>
      <c r="B86" s="18"/>
      <c r="C86" s="18"/>
      <c r="D86" s="18"/>
      <c r="E86" s="18"/>
      <c r="F86" s="19"/>
      <c r="G86" s="19"/>
      <c r="H86" s="19"/>
      <c r="I86" s="18"/>
      <c r="J86" s="18"/>
      <c r="K86" s="18"/>
      <c r="L86" s="31"/>
      <c r="M86" s="20"/>
      <c r="N86" s="20"/>
      <c r="O86" s="21"/>
      <c r="P86" s="22" t="str">
        <f aca="false">IF(B86="","",N86-M86)</f>
        <v/>
      </c>
      <c r="Q86" s="23" t="str">
        <f aca="false">IF(B86="","",IF(M86=0,"",P86/M86))</f>
        <v/>
      </c>
      <c r="R86" s="7" t="str">
        <f aca="false">IF(B86="","",IF(O86&lt;=設定!$C$6,IF(Q86&gt;=設定!$C$7,"I(コア)","II(回転)"),IF(Q86&gt;=設定!$C$7,"III(厳選)","IV(見送り)")))</f>
        <v/>
      </c>
      <c r="S86" s="23" t="str">
        <f aca="false">IF(B86="","",IF(K86="在庫中",IF($C$6=0,"",N86/$C$6),""))</f>
        <v/>
      </c>
      <c r="T86" s="18"/>
    </row>
    <row r="87" customFormat="false" ht="15" hidden="false" customHeight="false" outlineLevel="0" collapsed="false">
      <c r="A87" s="16" t="str">
        <f aca="false">IF(B87="","",ROW()-10)</f>
        <v/>
      </c>
      <c r="B87" s="18"/>
      <c r="C87" s="18"/>
      <c r="D87" s="18"/>
      <c r="E87" s="18"/>
      <c r="F87" s="19"/>
      <c r="G87" s="19"/>
      <c r="H87" s="19"/>
      <c r="I87" s="18"/>
      <c r="J87" s="18"/>
      <c r="K87" s="18"/>
      <c r="L87" s="31"/>
      <c r="M87" s="20"/>
      <c r="N87" s="20"/>
      <c r="O87" s="21"/>
      <c r="P87" s="22" t="str">
        <f aca="false">IF(B87="","",N87-M87)</f>
        <v/>
      </c>
      <c r="Q87" s="23" t="str">
        <f aca="false">IF(B87="","",IF(M87=0,"",P87/M87))</f>
        <v/>
      </c>
      <c r="R87" s="7" t="str">
        <f aca="false">IF(B87="","",IF(O87&lt;=設定!$C$6,IF(Q87&gt;=設定!$C$7,"I(コア)","II(回転)"),IF(Q87&gt;=設定!$C$7,"III(厳選)","IV(見送り)")))</f>
        <v/>
      </c>
      <c r="S87" s="23" t="str">
        <f aca="false">IF(B87="","",IF(K87="在庫中",IF($C$6=0,"",N87/$C$6),""))</f>
        <v/>
      </c>
      <c r="T87" s="18"/>
    </row>
    <row r="88" customFormat="false" ht="15" hidden="false" customHeight="false" outlineLevel="0" collapsed="false">
      <c r="A88" s="16" t="str">
        <f aca="false">IF(B88="","",ROW()-10)</f>
        <v/>
      </c>
      <c r="B88" s="18"/>
      <c r="C88" s="18"/>
      <c r="D88" s="18"/>
      <c r="E88" s="18"/>
      <c r="F88" s="19"/>
      <c r="G88" s="19"/>
      <c r="H88" s="19"/>
      <c r="I88" s="18"/>
      <c r="J88" s="18"/>
      <c r="K88" s="18"/>
      <c r="L88" s="31"/>
      <c r="M88" s="20"/>
      <c r="N88" s="20"/>
      <c r="O88" s="21"/>
      <c r="P88" s="22" t="str">
        <f aca="false">IF(B88="","",N88-M88)</f>
        <v/>
      </c>
      <c r="Q88" s="23" t="str">
        <f aca="false">IF(B88="","",IF(M88=0,"",P88/M88))</f>
        <v/>
      </c>
      <c r="R88" s="7" t="str">
        <f aca="false">IF(B88="","",IF(O88&lt;=設定!$C$6,IF(Q88&gt;=設定!$C$7,"I(コア)","II(回転)"),IF(Q88&gt;=設定!$C$7,"III(厳選)","IV(見送り)")))</f>
        <v/>
      </c>
      <c r="S88" s="23" t="str">
        <f aca="false">IF(B88="","",IF(K88="在庫中",IF($C$6=0,"",N88/$C$6),""))</f>
        <v/>
      </c>
      <c r="T88" s="18"/>
    </row>
    <row r="89" customFormat="false" ht="15" hidden="false" customHeight="false" outlineLevel="0" collapsed="false">
      <c r="A89" s="16" t="str">
        <f aca="false">IF(B89="","",ROW()-10)</f>
        <v/>
      </c>
      <c r="B89" s="18"/>
      <c r="C89" s="18"/>
      <c r="D89" s="18"/>
      <c r="E89" s="18"/>
      <c r="F89" s="19"/>
      <c r="G89" s="19"/>
      <c r="H89" s="19"/>
      <c r="I89" s="18"/>
      <c r="J89" s="18"/>
      <c r="K89" s="18"/>
      <c r="L89" s="31"/>
      <c r="M89" s="20"/>
      <c r="N89" s="20"/>
      <c r="O89" s="21"/>
      <c r="P89" s="22" t="str">
        <f aca="false">IF(B89="","",N89-M89)</f>
        <v/>
      </c>
      <c r="Q89" s="23" t="str">
        <f aca="false">IF(B89="","",IF(M89=0,"",P89/M89))</f>
        <v/>
      </c>
      <c r="R89" s="7" t="str">
        <f aca="false">IF(B89="","",IF(O89&lt;=設定!$C$6,IF(Q89&gt;=設定!$C$7,"I(コア)","II(回転)"),IF(Q89&gt;=設定!$C$7,"III(厳選)","IV(見送り)")))</f>
        <v/>
      </c>
      <c r="S89" s="23" t="str">
        <f aca="false">IF(B89="","",IF(K89="在庫中",IF($C$6=0,"",N89/$C$6),""))</f>
        <v/>
      </c>
      <c r="T89" s="18"/>
    </row>
    <row r="90" customFormat="false" ht="15" hidden="false" customHeight="false" outlineLevel="0" collapsed="false">
      <c r="A90" s="16" t="str">
        <f aca="false">IF(B90="","",ROW()-10)</f>
        <v/>
      </c>
      <c r="B90" s="18"/>
      <c r="C90" s="18"/>
      <c r="D90" s="18"/>
      <c r="E90" s="18"/>
      <c r="F90" s="19"/>
      <c r="G90" s="19"/>
      <c r="H90" s="19"/>
      <c r="I90" s="18"/>
      <c r="J90" s="18"/>
      <c r="K90" s="18"/>
      <c r="L90" s="31"/>
      <c r="M90" s="20"/>
      <c r="N90" s="20"/>
      <c r="O90" s="21"/>
      <c r="P90" s="22" t="str">
        <f aca="false">IF(B90="","",N90-M90)</f>
        <v/>
      </c>
      <c r="Q90" s="23" t="str">
        <f aca="false">IF(B90="","",IF(M90=0,"",P90/M90))</f>
        <v/>
      </c>
      <c r="R90" s="7" t="str">
        <f aca="false">IF(B90="","",IF(O90&lt;=設定!$C$6,IF(Q90&gt;=設定!$C$7,"I(コア)","II(回転)"),IF(Q90&gt;=設定!$C$7,"III(厳選)","IV(見送り)")))</f>
        <v/>
      </c>
      <c r="S90" s="23" t="str">
        <f aca="false">IF(B90="","",IF(K90="在庫中",IF($C$6=0,"",N90/$C$6),""))</f>
        <v/>
      </c>
      <c r="T90" s="18"/>
    </row>
    <row r="91" customFormat="false" ht="15" hidden="false" customHeight="false" outlineLevel="0" collapsed="false">
      <c r="A91" s="16" t="str">
        <f aca="false">IF(B91="","",ROW()-10)</f>
        <v/>
      </c>
      <c r="B91" s="18"/>
      <c r="C91" s="18"/>
      <c r="D91" s="18"/>
      <c r="E91" s="18"/>
      <c r="F91" s="19"/>
      <c r="G91" s="19"/>
      <c r="H91" s="19"/>
      <c r="I91" s="18"/>
      <c r="J91" s="18"/>
      <c r="K91" s="18"/>
      <c r="L91" s="31"/>
      <c r="M91" s="20"/>
      <c r="N91" s="20"/>
      <c r="O91" s="21"/>
      <c r="P91" s="22" t="str">
        <f aca="false">IF(B91="","",N91-M91)</f>
        <v/>
      </c>
      <c r="Q91" s="23" t="str">
        <f aca="false">IF(B91="","",IF(M91=0,"",P91/M91))</f>
        <v/>
      </c>
      <c r="R91" s="7" t="str">
        <f aca="false">IF(B91="","",IF(O91&lt;=設定!$C$6,IF(Q91&gt;=設定!$C$7,"I(コア)","II(回転)"),IF(Q91&gt;=設定!$C$7,"III(厳選)","IV(見送り)")))</f>
        <v/>
      </c>
      <c r="S91" s="23" t="str">
        <f aca="false">IF(B91="","",IF(K91="在庫中",IF($C$6=0,"",N91/$C$6),""))</f>
        <v/>
      </c>
      <c r="T91" s="18"/>
    </row>
    <row r="92" customFormat="false" ht="15" hidden="false" customHeight="false" outlineLevel="0" collapsed="false">
      <c r="A92" s="16" t="str">
        <f aca="false">IF(B92="","",ROW()-10)</f>
        <v/>
      </c>
      <c r="B92" s="18"/>
      <c r="C92" s="18"/>
      <c r="D92" s="18"/>
      <c r="E92" s="18"/>
      <c r="F92" s="19"/>
      <c r="G92" s="19"/>
      <c r="H92" s="19"/>
      <c r="I92" s="18"/>
      <c r="J92" s="18"/>
      <c r="K92" s="18"/>
      <c r="L92" s="31"/>
      <c r="M92" s="20"/>
      <c r="N92" s="20"/>
      <c r="O92" s="21"/>
      <c r="P92" s="22" t="str">
        <f aca="false">IF(B92="","",N92-M92)</f>
        <v/>
      </c>
      <c r="Q92" s="23" t="str">
        <f aca="false">IF(B92="","",IF(M92=0,"",P92/M92))</f>
        <v/>
      </c>
      <c r="R92" s="7" t="str">
        <f aca="false">IF(B92="","",IF(O92&lt;=設定!$C$6,IF(Q92&gt;=設定!$C$7,"I(コア)","II(回転)"),IF(Q92&gt;=設定!$C$7,"III(厳選)","IV(見送り)")))</f>
        <v/>
      </c>
      <c r="S92" s="23" t="str">
        <f aca="false">IF(B92="","",IF(K92="在庫中",IF($C$6=0,"",N92/$C$6),""))</f>
        <v/>
      </c>
      <c r="T92" s="18"/>
    </row>
    <row r="93" customFormat="false" ht="15" hidden="false" customHeight="false" outlineLevel="0" collapsed="false">
      <c r="A93" s="16" t="str">
        <f aca="false">IF(B93="","",ROW()-10)</f>
        <v/>
      </c>
      <c r="B93" s="18"/>
      <c r="C93" s="18"/>
      <c r="D93" s="18"/>
      <c r="E93" s="18"/>
      <c r="F93" s="19"/>
      <c r="G93" s="19"/>
      <c r="H93" s="19"/>
      <c r="I93" s="18"/>
      <c r="J93" s="18"/>
      <c r="K93" s="18"/>
      <c r="L93" s="31"/>
      <c r="M93" s="20"/>
      <c r="N93" s="20"/>
      <c r="O93" s="21"/>
      <c r="P93" s="22" t="str">
        <f aca="false">IF(B93="","",N93-M93)</f>
        <v/>
      </c>
      <c r="Q93" s="23" t="str">
        <f aca="false">IF(B93="","",IF(M93=0,"",P93/M93))</f>
        <v/>
      </c>
      <c r="R93" s="7" t="str">
        <f aca="false">IF(B93="","",IF(O93&lt;=設定!$C$6,IF(Q93&gt;=設定!$C$7,"I(コア)","II(回転)"),IF(Q93&gt;=設定!$C$7,"III(厳選)","IV(見送り)")))</f>
        <v/>
      </c>
      <c r="S93" s="23" t="str">
        <f aca="false">IF(B93="","",IF(K93="在庫中",IF($C$6=0,"",N93/$C$6),""))</f>
        <v/>
      </c>
      <c r="T93" s="18"/>
    </row>
    <row r="94" customFormat="false" ht="15" hidden="false" customHeight="false" outlineLevel="0" collapsed="false">
      <c r="A94" s="16" t="str">
        <f aca="false">IF(B94="","",ROW()-10)</f>
        <v/>
      </c>
      <c r="B94" s="18"/>
      <c r="C94" s="18"/>
      <c r="D94" s="18"/>
      <c r="E94" s="18"/>
      <c r="F94" s="19"/>
      <c r="G94" s="19"/>
      <c r="H94" s="19"/>
      <c r="I94" s="18"/>
      <c r="J94" s="18"/>
      <c r="K94" s="18"/>
      <c r="L94" s="31"/>
      <c r="M94" s="20"/>
      <c r="N94" s="20"/>
      <c r="O94" s="21"/>
      <c r="P94" s="22" t="str">
        <f aca="false">IF(B94="","",N94-M94)</f>
        <v/>
      </c>
      <c r="Q94" s="23" t="str">
        <f aca="false">IF(B94="","",IF(M94=0,"",P94/M94))</f>
        <v/>
      </c>
      <c r="R94" s="7" t="str">
        <f aca="false">IF(B94="","",IF(O94&lt;=設定!$C$6,IF(Q94&gt;=設定!$C$7,"I(コア)","II(回転)"),IF(Q94&gt;=設定!$C$7,"III(厳選)","IV(見送り)")))</f>
        <v/>
      </c>
      <c r="S94" s="23" t="str">
        <f aca="false">IF(B94="","",IF(K94="在庫中",IF($C$6=0,"",N94/$C$6),""))</f>
        <v/>
      </c>
      <c r="T94" s="18"/>
    </row>
    <row r="95" customFormat="false" ht="15" hidden="false" customHeight="false" outlineLevel="0" collapsed="false">
      <c r="A95" s="16" t="str">
        <f aca="false">IF(B95="","",ROW()-10)</f>
        <v/>
      </c>
      <c r="B95" s="18"/>
      <c r="C95" s="18"/>
      <c r="D95" s="18"/>
      <c r="E95" s="18"/>
      <c r="F95" s="19"/>
      <c r="G95" s="19"/>
      <c r="H95" s="19"/>
      <c r="I95" s="18"/>
      <c r="J95" s="18"/>
      <c r="K95" s="18"/>
      <c r="L95" s="31"/>
      <c r="M95" s="20"/>
      <c r="N95" s="20"/>
      <c r="O95" s="21"/>
      <c r="P95" s="22" t="str">
        <f aca="false">IF(B95="","",N95-M95)</f>
        <v/>
      </c>
      <c r="Q95" s="23" t="str">
        <f aca="false">IF(B95="","",IF(M95=0,"",P95/M95))</f>
        <v/>
      </c>
      <c r="R95" s="7" t="str">
        <f aca="false">IF(B95="","",IF(O95&lt;=設定!$C$6,IF(Q95&gt;=設定!$C$7,"I(コア)","II(回転)"),IF(Q95&gt;=設定!$C$7,"III(厳選)","IV(見送り)")))</f>
        <v/>
      </c>
      <c r="S95" s="23" t="str">
        <f aca="false">IF(B95="","",IF(K95="在庫中",IF($C$6=0,"",N95/$C$6),""))</f>
        <v/>
      </c>
      <c r="T95" s="18"/>
    </row>
    <row r="96" customFormat="false" ht="15" hidden="false" customHeight="false" outlineLevel="0" collapsed="false">
      <c r="A96" s="16" t="str">
        <f aca="false">IF(B96="","",ROW()-10)</f>
        <v/>
      </c>
      <c r="B96" s="18"/>
      <c r="C96" s="18"/>
      <c r="D96" s="18"/>
      <c r="E96" s="18"/>
      <c r="F96" s="19"/>
      <c r="G96" s="19"/>
      <c r="H96" s="19"/>
      <c r="I96" s="18"/>
      <c r="J96" s="18"/>
      <c r="K96" s="18"/>
      <c r="L96" s="31"/>
      <c r="M96" s="20"/>
      <c r="N96" s="20"/>
      <c r="O96" s="21"/>
      <c r="P96" s="22" t="str">
        <f aca="false">IF(B96="","",N96-M96)</f>
        <v/>
      </c>
      <c r="Q96" s="23" t="str">
        <f aca="false">IF(B96="","",IF(M96=0,"",P96/M96))</f>
        <v/>
      </c>
      <c r="R96" s="7" t="str">
        <f aca="false">IF(B96="","",IF(O96&lt;=設定!$C$6,IF(Q96&gt;=設定!$C$7,"I(コア)","II(回転)"),IF(Q96&gt;=設定!$C$7,"III(厳選)","IV(見送り)")))</f>
        <v/>
      </c>
      <c r="S96" s="23" t="str">
        <f aca="false">IF(B96="","",IF(K96="在庫中",IF($C$6=0,"",N96/$C$6),""))</f>
        <v/>
      </c>
      <c r="T96" s="18"/>
    </row>
    <row r="97" customFormat="false" ht="15" hidden="false" customHeight="false" outlineLevel="0" collapsed="false">
      <c r="A97" s="16" t="str">
        <f aca="false">IF(B97="","",ROW()-10)</f>
        <v/>
      </c>
      <c r="B97" s="18"/>
      <c r="C97" s="18"/>
      <c r="D97" s="18"/>
      <c r="E97" s="18"/>
      <c r="F97" s="19"/>
      <c r="G97" s="19"/>
      <c r="H97" s="19"/>
      <c r="I97" s="18"/>
      <c r="J97" s="18"/>
      <c r="K97" s="18"/>
      <c r="L97" s="31"/>
      <c r="M97" s="20"/>
      <c r="N97" s="20"/>
      <c r="O97" s="21"/>
      <c r="P97" s="22" t="str">
        <f aca="false">IF(B97="","",N97-M97)</f>
        <v/>
      </c>
      <c r="Q97" s="23" t="str">
        <f aca="false">IF(B97="","",IF(M97=0,"",P97/M97))</f>
        <v/>
      </c>
      <c r="R97" s="7" t="str">
        <f aca="false">IF(B97="","",IF(O97&lt;=設定!$C$6,IF(Q97&gt;=設定!$C$7,"I(コア)","II(回転)"),IF(Q97&gt;=設定!$C$7,"III(厳選)","IV(見送り)")))</f>
        <v/>
      </c>
      <c r="S97" s="23" t="str">
        <f aca="false">IF(B97="","",IF(K97="在庫中",IF($C$6=0,"",N97/$C$6),""))</f>
        <v/>
      </c>
      <c r="T97" s="18"/>
    </row>
    <row r="98" customFormat="false" ht="15" hidden="false" customHeight="false" outlineLevel="0" collapsed="false">
      <c r="A98" s="16" t="str">
        <f aca="false">IF(B98="","",ROW()-10)</f>
        <v/>
      </c>
      <c r="B98" s="18"/>
      <c r="C98" s="18"/>
      <c r="D98" s="18"/>
      <c r="E98" s="18"/>
      <c r="F98" s="19"/>
      <c r="G98" s="19"/>
      <c r="H98" s="19"/>
      <c r="I98" s="18"/>
      <c r="J98" s="18"/>
      <c r="K98" s="18"/>
      <c r="L98" s="31"/>
      <c r="M98" s="20"/>
      <c r="N98" s="20"/>
      <c r="O98" s="21"/>
      <c r="P98" s="22" t="str">
        <f aca="false">IF(B98="","",N98-M98)</f>
        <v/>
      </c>
      <c r="Q98" s="23" t="str">
        <f aca="false">IF(B98="","",IF(M98=0,"",P98/M98))</f>
        <v/>
      </c>
      <c r="R98" s="7" t="str">
        <f aca="false">IF(B98="","",IF(O98&lt;=設定!$C$6,IF(Q98&gt;=設定!$C$7,"I(コア)","II(回転)"),IF(Q98&gt;=設定!$C$7,"III(厳選)","IV(見送り)")))</f>
        <v/>
      </c>
      <c r="S98" s="23" t="str">
        <f aca="false">IF(B98="","",IF(K98="在庫中",IF($C$6=0,"",N98/$C$6),""))</f>
        <v/>
      </c>
      <c r="T98" s="18"/>
    </row>
    <row r="99" customFormat="false" ht="15" hidden="false" customHeight="false" outlineLevel="0" collapsed="false">
      <c r="A99" s="16" t="str">
        <f aca="false">IF(B99="","",ROW()-10)</f>
        <v/>
      </c>
      <c r="B99" s="18"/>
      <c r="C99" s="18"/>
      <c r="D99" s="18"/>
      <c r="E99" s="18"/>
      <c r="F99" s="19"/>
      <c r="G99" s="19"/>
      <c r="H99" s="19"/>
      <c r="I99" s="18"/>
      <c r="J99" s="18"/>
      <c r="K99" s="18"/>
      <c r="L99" s="31"/>
      <c r="M99" s="20"/>
      <c r="N99" s="20"/>
      <c r="O99" s="21"/>
      <c r="P99" s="22" t="str">
        <f aca="false">IF(B99="","",N99-M99)</f>
        <v/>
      </c>
      <c r="Q99" s="23" t="str">
        <f aca="false">IF(B99="","",IF(M99=0,"",P99/M99))</f>
        <v/>
      </c>
      <c r="R99" s="7" t="str">
        <f aca="false">IF(B99="","",IF(O99&lt;=設定!$C$6,IF(Q99&gt;=設定!$C$7,"I(コア)","II(回転)"),IF(Q99&gt;=設定!$C$7,"III(厳選)","IV(見送り)")))</f>
        <v/>
      </c>
      <c r="S99" s="23" t="str">
        <f aca="false">IF(B99="","",IF(K99="在庫中",IF($C$6=0,"",N99/$C$6),""))</f>
        <v/>
      </c>
      <c r="T99" s="18"/>
    </row>
    <row r="100" customFormat="false" ht="15" hidden="false" customHeight="false" outlineLevel="0" collapsed="false">
      <c r="A100" s="16" t="str">
        <f aca="false">IF(B100="","",ROW()-10)</f>
        <v/>
      </c>
      <c r="B100" s="18"/>
      <c r="C100" s="18"/>
      <c r="D100" s="18"/>
      <c r="E100" s="18"/>
      <c r="F100" s="19"/>
      <c r="G100" s="19"/>
      <c r="H100" s="19"/>
      <c r="I100" s="18"/>
      <c r="J100" s="18"/>
      <c r="K100" s="18"/>
      <c r="L100" s="31"/>
      <c r="M100" s="20"/>
      <c r="N100" s="20"/>
      <c r="O100" s="21"/>
      <c r="P100" s="22" t="str">
        <f aca="false">IF(B100="","",N100-M100)</f>
        <v/>
      </c>
      <c r="Q100" s="23" t="str">
        <f aca="false">IF(B100="","",IF(M100=0,"",P100/M100))</f>
        <v/>
      </c>
      <c r="R100" s="7" t="str">
        <f aca="false">IF(B100="","",IF(O100&lt;=設定!$C$6,IF(Q100&gt;=設定!$C$7,"I(コア)","II(回転)"),IF(Q100&gt;=設定!$C$7,"III(厳選)","IV(見送り)")))</f>
        <v/>
      </c>
      <c r="S100" s="23" t="str">
        <f aca="false">IF(B100="","",IF(K100="在庫中",IF($C$6=0,"",N100/$C$6),""))</f>
        <v/>
      </c>
      <c r="T100" s="18"/>
    </row>
    <row r="101" customFormat="false" ht="15" hidden="false" customHeight="false" outlineLevel="0" collapsed="false">
      <c r="A101" s="16" t="str">
        <f aca="false">IF(B101="","",ROW()-10)</f>
        <v/>
      </c>
      <c r="B101" s="18"/>
      <c r="C101" s="18"/>
      <c r="D101" s="18"/>
      <c r="E101" s="18"/>
      <c r="F101" s="19"/>
      <c r="G101" s="19"/>
      <c r="H101" s="19"/>
      <c r="I101" s="18"/>
      <c r="J101" s="18"/>
      <c r="K101" s="18"/>
      <c r="L101" s="31"/>
      <c r="M101" s="20"/>
      <c r="N101" s="20"/>
      <c r="O101" s="21"/>
      <c r="P101" s="22" t="str">
        <f aca="false">IF(B101="","",N101-M101)</f>
        <v/>
      </c>
      <c r="Q101" s="23" t="str">
        <f aca="false">IF(B101="","",IF(M101=0,"",P101/M101))</f>
        <v/>
      </c>
      <c r="R101" s="7" t="str">
        <f aca="false">IF(B101="","",IF(O101&lt;=設定!$C$6,IF(Q101&gt;=設定!$C$7,"I(コア)","II(回転)"),IF(Q101&gt;=設定!$C$7,"III(厳選)","IV(見送り)")))</f>
        <v/>
      </c>
      <c r="S101" s="23" t="str">
        <f aca="false">IF(B101="","",IF(K101="在庫中",IF($C$6=0,"",N101/$C$6),""))</f>
        <v/>
      </c>
      <c r="T101" s="18"/>
    </row>
    <row r="102" customFormat="false" ht="15" hidden="false" customHeight="false" outlineLevel="0" collapsed="false">
      <c r="A102" s="16" t="str">
        <f aca="false">IF(B102="","",ROW()-10)</f>
        <v/>
      </c>
      <c r="B102" s="18"/>
      <c r="C102" s="18"/>
      <c r="D102" s="18"/>
      <c r="E102" s="18"/>
      <c r="F102" s="19"/>
      <c r="G102" s="19"/>
      <c r="H102" s="19"/>
      <c r="I102" s="18"/>
      <c r="J102" s="18"/>
      <c r="K102" s="18"/>
      <c r="L102" s="31"/>
      <c r="M102" s="20"/>
      <c r="N102" s="20"/>
      <c r="O102" s="21"/>
      <c r="P102" s="22" t="str">
        <f aca="false">IF(B102="","",N102-M102)</f>
        <v/>
      </c>
      <c r="Q102" s="23" t="str">
        <f aca="false">IF(B102="","",IF(M102=0,"",P102/M102))</f>
        <v/>
      </c>
      <c r="R102" s="7" t="str">
        <f aca="false">IF(B102="","",IF(O102&lt;=設定!$C$6,IF(Q102&gt;=設定!$C$7,"I(コア)","II(回転)"),IF(Q102&gt;=設定!$C$7,"III(厳選)","IV(見送り)")))</f>
        <v/>
      </c>
      <c r="S102" s="23" t="str">
        <f aca="false">IF(B102="","",IF(K102="在庫中",IF($C$6=0,"",N102/$C$6),""))</f>
        <v/>
      </c>
      <c r="T102" s="18"/>
    </row>
    <row r="103" customFormat="false" ht="15" hidden="false" customHeight="false" outlineLevel="0" collapsed="false">
      <c r="A103" s="16" t="str">
        <f aca="false">IF(B103="","",ROW()-10)</f>
        <v/>
      </c>
      <c r="B103" s="18"/>
      <c r="C103" s="18"/>
      <c r="D103" s="18"/>
      <c r="E103" s="18"/>
      <c r="F103" s="19"/>
      <c r="G103" s="19"/>
      <c r="H103" s="19"/>
      <c r="I103" s="18"/>
      <c r="J103" s="18"/>
      <c r="K103" s="18"/>
      <c r="L103" s="31"/>
      <c r="M103" s="20"/>
      <c r="N103" s="20"/>
      <c r="O103" s="21"/>
      <c r="P103" s="22" t="str">
        <f aca="false">IF(B103="","",N103-M103)</f>
        <v/>
      </c>
      <c r="Q103" s="23" t="str">
        <f aca="false">IF(B103="","",IF(M103=0,"",P103/M103))</f>
        <v/>
      </c>
      <c r="R103" s="7" t="str">
        <f aca="false">IF(B103="","",IF(O103&lt;=設定!$C$6,IF(Q103&gt;=設定!$C$7,"I(コア)","II(回転)"),IF(Q103&gt;=設定!$C$7,"III(厳選)","IV(見送り)")))</f>
        <v/>
      </c>
      <c r="S103" s="23" t="str">
        <f aca="false">IF(B103="","",IF(K103="在庫中",IF($C$6=0,"",N103/$C$6),""))</f>
        <v/>
      </c>
      <c r="T103" s="18"/>
    </row>
    <row r="104" customFormat="false" ht="15" hidden="false" customHeight="false" outlineLevel="0" collapsed="false">
      <c r="A104" s="16" t="str">
        <f aca="false">IF(B104="","",ROW()-10)</f>
        <v/>
      </c>
      <c r="B104" s="18"/>
      <c r="C104" s="18"/>
      <c r="D104" s="18"/>
      <c r="E104" s="18"/>
      <c r="F104" s="19"/>
      <c r="G104" s="19"/>
      <c r="H104" s="19"/>
      <c r="I104" s="18"/>
      <c r="J104" s="18"/>
      <c r="K104" s="18"/>
      <c r="L104" s="31"/>
      <c r="M104" s="20"/>
      <c r="N104" s="20"/>
      <c r="O104" s="21"/>
      <c r="P104" s="22" t="str">
        <f aca="false">IF(B104="","",N104-M104)</f>
        <v/>
      </c>
      <c r="Q104" s="23" t="str">
        <f aca="false">IF(B104="","",IF(M104=0,"",P104/M104))</f>
        <v/>
      </c>
      <c r="R104" s="7" t="str">
        <f aca="false">IF(B104="","",IF(O104&lt;=設定!$C$6,IF(Q104&gt;=設定!$C$7,"I(コア)","II(回転)"),IF(Q104&gt;=設定!$C$7,"III(厳選)","IV(見送り)")))</f>
        <v/>
      </c>
      <c r="S104" s="23" t="str">
        <f aca="false">IF(B104="","",IF(K104="在庫中",IF($C$6=0,"",N104/$C$6),""))</f>
        <v/>
      </c>
      <c r="T104" s="18"/>
    </row>
    <row r="105" customFormat="false" ht="15" hidden="false" customHeight="false" outlineLevel="0" collapsed="false">
      <c r="A105" s="16" t="str">
        <f aca="false">IF(B105="","",ROW()-10)</f>
        <v/>
      </c>
      <c r="B105" s="18"/>
      <c r="C105" s="18"/>
      <c r="D105" s="18"/>
      <c r="E105" s="18"/>
      <c r="F105" s="19"/>
      <c r="G105" s="19"/>
      <c r="H105" s="19"/>
      <c r="I105" s="18"/>
      <c r="J105" s="18"/>
      <c r="K105" s="18"/>
      <c r="L105" s="31"/>
      <c r="M105" s="20"/>
      <c r="N105" s="20"/>
      <c r="O105" s="21"/>
      <c r="P105" s="22" t="str">
        <f aca="false">IF(B105="","",N105-M105)</f>
        <v/>
      </c>
      <c r="Q105" s="23" t="str">
        <f aca="false">IF(B105="","",IF(M105=0,"",P105/M105))</f>
        <v/>
      </c>
      <c r="R105" s="7" t="str">
        <f aca="false">IF(B105="","",IF(O105&lt;=設定!$C$6,IF(Q105&gt;=設定!$C$7,"I(コア)","II(回転)"),IF(Q105&gt;=設定!$C$7,"III(厳選)","IV(見送り)")))</f>
        <v/>
      </c>
      <c r="S105" s="23" t="str">
        <f aca="false">IF(B105="","",IF(K105="在庫中",IF($C$6=0,"",N105/$C$6),""))</f>
        <v/>
      </c>
      <c r="T105" s="18"/>
    </row>
    <row r="106" customFormat="false" ht="15" hidden="false" customHeight="false" outlineLevel="0" collapsed="false">
      <c r="A106" s="16" t="str">
        <f aca="false">IF(B106="","",ROW()-10)</f>
        <v/>
      </c>
      <c r="B106" s="18"/>
      <c r="C106" s="18"/>
      <c r="D106" s="18"/>
      <c r="E106" s="18"/>
      <c r="F106" s="19"/>
      <c r="G106" s="19"/>
      <c r="H106" s="19"/>
      <c r="I106" s="18"/>
      <c r="J106" s="18"/>
      <c r="K106" s="18"/>
      <c r="L106" s="31"/>
      <c r="M106" s="20"/>
      <c r="N106" s="20"/>
      <c r="O106" s="21"/>
      <c r="P106" s="22" t="str">
        <f aca="false">IF(B106="","",N106-M106)</f>
        <v/>
      </c>
      <c r="Q106" s="23" t="str">
        <f aca="false">IF(B106="","",IF(M106=0,"",P106/M106))</f>
        <v/>
      </c>
      <c r="R106" s="7" t="str">
        <f aca="false">IF(B106="","",IF(O106&lt;=設定!$C$6,IF(Q106&gt;=設定!$C$7,"I(コア)","II(回転)"),IF(Q106&gt;=設定!$C$7,"III(厳選)","IV(見送り)")))</f>
        <v/>
      </c>
      <c r="S106" s="23" t="str">
        <f aca="false">IF(B106="","",IF(K106="在庫中",IF($C$6=0,"",N106/$C$6),""))</f>
        <v/>
      </c>
      <c r="T106" s="18"/>
    </row>
    <row r="107" customFormat="false" ht="15" hidden="false" customHeight="false" outlineLevel="0" collapsed="false">
      <c r="A107" s="16" t="str">
        <f aca="false">IF(B107="","",ROW()-10)</f>
        <v/>
      </c>
      <c r="B107" s="18"/>
      <c r="C107" s="18"/>
      <c r="D107" s="18"/>
      <c r="E107" s="18"/>
      <c r="F107" s="19"/>
      <c r="G107" s="19"/>
      <c r="H107" s="19"/>
      <c r="I107" s="18"/>
      <c r="J107" s="18"/>
      <c r="K107" s="18"/>
      <c r="L107" s="31"/>
      <c r="M107" s="20"/>
      <c r="N107" s="20"/>
      <c r="O107" s="21"/>
      <c r="P107" s="22" t="str">
        <f aca="false">IF(B107="","",N107-M107)</f>
        <v/>
      </c>
      <c r="Q107" s="23" t="str">
        <f aca="false">IF(B107="","",IF(M107=0,"",P107/M107))</f>
        <v/>
      </c>
      <c r="R107" s="7" t="str">
        <f aca="false">IF(B107="","",IF(O107&lt;=設定!$C$6,IF(Q107&gt;=設定!$C$7,"I(コア)","II(回転)"),IF(Q107&gt;=設定!$C$7,"III(厳選)","IV(見送り)")))</f>
        <v/>
      </c>
      <c r="S107" s="23" t="str">
        <f aca="false">IF(B107="","",IF(K107="在庫中",IF($C$6=0,"",N107/$C$6),""))</f>
        <v/>
      </c>
      <c r="T107" s="18"/>
    </row>
    <row r="108" customFormat="false" ht="15" hidden="false" customHeight="false" outlineLevel="0" collapsed="false">
      <c r="A108" s="16" t="str">
        <f aca="false">IF(B108="","",ROW()-10)</f>
        <v/>
      </c>
      <c r="B108" s="18"/>
      <c r="C108" s="18"/>
      <c r="D108" s="18"/>
      <c r="E108" s="18"/>
      <c r="F108" s="19"/>
      <c r="G108" s="19"/>
      <c r="H108" s="19"/>
      <c r="I108" s="18"/>
      <c r="J108" s="18"/>
      <c r="K108" s="18"/>
      <c r="L108" s="31"/>
      <c r="M108" s="20"/>
      <c r="N108" s="20"/>
      <c r="O108" s="21"/>
      <c r="P108" s="22" t="str">
        <f aca="false">IF(B108="","",N108-M108)</f>
        <v/>
      </c>
      <c r="Q108" s="23" t="str">
        <f aca="false">IF(B108="","",IF(M108=0,"",P108/M108))</f>
        <v/>
      </c>
      <c r="R108" s="7" t="str">
        <f aca="false">IF(B108="","",IF(O108&lt;=設定!$C$6,IF(Q108&gt;=設定!$C$7,"I(コア)","II(回転)"),IF(Q108&gt;=設定!$C$7,"III(厳選)","IV(見送り)")))</f>
        <v/>
      </c>
      <c r="S108" s="23" t="str">
        <f aca="false">IF(B108="","",IF(K108="在庫中",IF($C$6=0,"",N108/$C$6),""))</f>
        <v/>
      </c>
      <c r="T108" s="18"/>
    </row>
    <row r="109" customFormat="false" ht="15" hidden="false" customHeight="false" outlineLevel="0" collapsed="false">
      <c r="A109" s="16" t="str">
        <f aca="false">IF(B109="","",ROW()-10)</f>
        <v/>
      </c>
      <c r="B109" s="18"/>
      <c r="C109" s="18"/>
      <c r="D109" s="18"/>
      <c r="E109" s="18"/>
      <c r="F109" s="19"/>
      <c r="G109" s="19"/>
      <c r="H109" s="19"/>
      <c r="I109" s="18"/>
      <c r="J109" s="18"/>
      <c r="K109" s="18"/>
      <c r="L109" s="31"/>
      <c r="M109" s="20"/>
      <c r="N109" s="20"/>
      <c r="O109" s="21"/>
      <c r="P109" s="22" t="str">
        <f aca="false">IF(B109="","",N109-M109)</f>
        <v/>
      </c>
      <c r="Q109" s="23" t="str">
        <f aca="false">IF(B109="","",IF(M109=0,"",P109/M109))</f>
        <v/>
      </c>
      <c r="R109" s="7" t="str">
        <f aca="false">IF(B109="","",IF(O109&lt;=設定!$C$6,IF(Q109&gt;=設定!$C$7,"I(コア)","II(回転)"),IF(Q109&gt;=設定!$C$7,"III(厳選)","IV(見送り)")))</f>
        <v/>
      </c>
      <c r="S109" s="23" t="str">
        <f aca="false">IF(B109="","",IF(K109="在庫中",IF($C$6=0,"",N109/$C$6),""))</f>
        <v/>
      </c>
      <c r="T109" s="18"/>
    </row>
    <row r="110" customFormat="false" ht="15" hidden="false" customHeight="false" outlineLevel="0" collapsed="false">
      <c r="A110" s="16" t="str">
        <f aca="false">IF(B110="","",ROW()-10)</f>
        <v/>
      </c>
      <c r="B110" s="18"/>
      <c r="C110" s="18"/>
      <c r="D110" s="18"/>
      <c r="E110" s="18"/>
      <c r="F110" s="19"/>
      <c r="G110" s="19"/>
      <c r="H110" s="19"/>
      <c r="I110" s="18"/>
      <c r="J110" s="18"/>
      <c r="K110" s="18"/>
      <c r="L110" s="31"/>
      <c r="M110" s="20"/>
      <c r="N110" s="20"/>
      <c r="O110" s="21"/>
      <c r="P110" s="22" t="str">
        <f aca="false">IF(B110="","",N110-M110)</f>
        <v/>
      </c>
      <c r="Q110" s="23" t="str">
        <f aca="false">IF(B110="","",IF(M110=0,"",P110/M110))</f>
        <v/>
      </c>
      <c r="R110" s="7" t="str">
        <f aca="false">IF(B110="","",IF(O110&lt;=設定!$C$6,IF(Q110&gt;=設定!$C$7,"I(コア)","II(回転)"),IF(Q110&gt;=設定!$C$7,"III(厳選)","IV(見送り)")))</f>
        <v/>
      </c>
      <c r="S110" s="23" t="str">
        <f aca="false">IF(B110="","",IF(K110="在庫中",IF($C$6=0,"",N110/$C$6),""))</f>
        <v/>
      </c>
      <c r="T110" s="18"/>
    </row>
  </sheetData>
  <dataValidations count="6">
    <dataValidation allowBlank="true" errorStyle="stop" operator="between" showDropDown="false" showErrorMessage="false" showInputMessage="false" sqref="C11:C110" type="list">
      <formula1>設定!$B$20:$B$25</formula1>
      <formula2>0</formula2>
    </dataValidation>
    <dataValidation allowBlank="true" errorStyle="stop" operator="between" showDropDown="false" showErrorMessage="false" showInputMessage="false" sqref="H11:H110" type="list">
      <formula1>設定!$B$29:$B$33</formula1>
      <formula2>0</formula2>
    </dataValidation>
    <dataValidation allowBlank="true" errorStyle="stop" operator="between" showDropDown="false" showErrorMessage="false" showInputMessage="false" sqref="I11:I110" type="list">
      <formula1>設定!$B$37:$B$39</formula1>
      <formula2>0</formula2>
    </dataValidation>
    <dataValidation allowBlank="true" errorStyle="stop" operator="between" showDropDown="false" showErrorMessage="false" showInputMessage="false" sqref="J11:J110" type="list">
      <formula1>設定!$B$43:$B$45</formula1>
      <formula2>0</formula2>
    </dataValidation>
    <dataValidation allowBlank="true" errorStyle="stop" operator="between" showDropDown="false" showErrorMessage="false" showInputMessage="false" sqref="K11:K110" type="list">
      <formula1>設定!$B$49:$B$51</formula1>
      <formula2>0</formula2>
    </dataValidation>
    <dataValidation allowBlank="true" errorStyle="stop" operator="between" showDropDown="false" showErrorMessage="false" showInputMessage="false" sqref="F11:G110" type="list">
      <formula1>"○,×"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2:J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6" min="6" style="0" width="4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12" min="9" style="0" width="12"/>
  </cols>
  <sheetData>
    <row r="2" customFormat="false" ht="19.7" hidden="false" customHeight="false" outlineLevel="0" collapsed="false">
      <c r="B2" s="1" t="s">
        <v>168</v>
      </c>
    </row>
    <row r="3" customFormat="false" ht="15" hidden="false" customHeight="false" outlineLevel="0" collapsed="false">
      <c r="B3" s="2" t="s">
        <v>169</v>
      </c>
    </row>
    <row r="5" customFormat="false" ht="15" hidden="false" customHeight="false" outlineLevel="0" collapsed="false">
      <c r="B5" s="3" t="s">
        <v>170</v>
      </c>
    </row>
    <row r="6" customFormat="false" ht="15" hidden="false" customHeight="false" outlineLevel="0" collapsed="false">
      <c r="B6" s="7" t="s">
        <v>146</v>
      </c>
      <c r="C6" s="32" t="n">
        <f aca="false">在庫管理!$C$5</f>
        <v>78000</v>
      </c>
    </row>
    <row r="7" customFormat="false" ht="15" hidden="false" customHeight="false" outlineLevel="0" collapsed="false">
      <c r="B7" s="7" t="s">
        <v>147</v>
      </c>
      <c r="C7" s="32" t="n">
        <f aca="false">在庫管理!$C$6</f>
        <v>98500</v>
      </c>
    </row>
    <row r="8" customFormat="false" ht="15" hidden="false" customHeight="false" outlineLevel="0" collapsed="false">
      <c r="B8" s="7" t="s">
        <v>148</v>
      </c>
      <c r="C8" s="32" t="n">
        <f aca="false">在庫管理!$C$7</f>
        <v>20500</v>
      </c>
    </row>
    <row r="9" customFormat="false" ht="15" hidden="false" customHeight="false" outlineLevel="0" collapsed="false">
      <c r="B9" s="7" t="s">
        <v>149</v>
      </c>
      <c r="C9" s="33" t="n">
        <f aca="false">在庫管理!$C$8</f>
        <v>0.262820512820513</v>
      </c>
    </row>
    <row r="10" customFormat="false" ht="15" hidden="false" customHeight="false" outlineLevel="0" collapsed="false">
      <c r="B10" s="7" t="s">
        <v>171</v>
      </c>
      <c r="C10" s="34" t="n">
        <f aca="false">IFERROR($C$7/$C$6,"")</f>
        <v>1.26282051282051</v>
      </c>
    </row>
    <row r="11" customFormat="false" ht="15" hidden="false" customHeight="false" outlineLevel="0" collapsed="false">
      <c r="B11" s="7" t="s">
        <v>172</v>
      </c>
      <c r="C11" s="35" t="n">
        <f aca="false">IFERROR(SUMPRODUCT((在庫管理!$K$11:$K$110="在庫中")*在庫管理!$O$11:$O$110*在庫管理!$N$11:$N$110)/$C$7,"")</f>
        <v>35.2791878172589</v>
      </c>
    </row>
    <row r="12" customFormat="false" ht="15" hidden="false" customHeight="false" outlineLevel="0" collapsed="false">
      <c r="B12" s="7" t="s">
        <v>173</v>
      </c>
      <c r="C12" s="36" t="n">
        <f aca="false">IFERROR(365/$C$11,"")</f>
        <v>10.3460431654676</v>
      </c>
    </row>
    <row r="14" customFormat="false" ht="15" hidden="false" customHeight="false" outlineLevel="0" collapsed="false">
      <c r="B14" s="3" t="s">
        <v>174</v>
      </c>
    </row>
    <row r="15" customFormat="false" ht="15" hidden="false" customHeight="false" outlineLevel="0" collapsed="false">
      <c r="B15" s="7" t="s">
        <v>175</v>
      </c>
      <c r="C15" s="23" t="n">
        <f aca="false">IFERROR(SUMIFS(在庫管理!$N$11:$N$110,在庫管理!$K$11:$K$110,"在庫中",在庫管理!$O$11:$O$110,"&lt;="&amp;設定!$C$6)/$C$7,"")</f>
        <v>0.50253807106599</v>
      </c>
    </row>
    <row r="16" customFormat="false" ht="15" hidden="false" customHeight="false" outlineLevel="0" collapsed="false">
      <c r="B16" s="7" t="s">
        <v>176</v>
      </c>
      <c r="C16" s="23" t="n">
        <f aca="false">IFERROR(SUMIFS(在庫管理!$N$11:$N$110,在庫管理!$K$11:$K$110,"在庫中",在庫管理!$O$11:$O$110,"&gt;"&amp;設定!$C$8)/$C$7,"")</f>
        <v>0</v>
      </c>
    </row>
    <row r="17" customFormat="false" ht="15" hidden="false" customHeight="false" outlineLevel="0" collapsed="false">
      <c r="B17" s="7" t="s">
        <v>177</v>
      </c>
      <c r="C17" s="23" t="n">
        <f aca="false">IFERROR((SUMIFS(在庫管理!$N$11:$N$110,在庫管理!$K$11:$K$110,"在庫中",在庫管理!$R$11:$R$110,"I(コア)")+SUMIFS(在庫管理!$N$11:$N$110,在庫管理!$K$11:$K$110,"在庫中",在庫管理!$R$11:$R$110,"II(回転)"))/$C$7,"")</f>
        <v>0.50253807106599</v>
      </c>
    </row>
    <row r="18" customFormat="false" ht="15" hidden="false" customHeight="false" outlineLevel="0" collapsed="false">
      <c r="B18" s="7" t="s">
        <v>178</v>
      </c>
      <c r="C18" s="23" t="n">
        <f aca="false">IFERROR((SUMIFS(在庫管理!$N$11:$N$110,在庫管理!$K$11:$K$110,"在庫中",在庫管理!$R$11:$R$110,"III(厳選)")+SUMIFS(在庫管理!$N$11:$N$110,在庫管理!$K$11:$K$110,"在庫中",在庫管理!$R$11:$R$110,"IV(見送り)"))/$C$7,"")</f>
        <v>0.49746192893401</v>
      </c>
    </row>
    <row r="20" customFormat="false" ht="15" hidden="false" customHeight="false" outlineLevel="0" collapsed="false">
      <c r="B20" s="3" t="s">
        <v>179</v>
      </c>
    </row>
    <row r="22" customFormat="false" ht="15" hidden="false" customHeight="false" outlineLevel="0" collapsed="false">
      <c r="B22" s="10" t="s">
        <v>50</v>
      </c>
      <c r="C22" s="10" t="s">
        <v>180</v>
      </c>
      <c r="D22" s="10" t="s">
        <v>181</v>
      </c>
      <c r="E22" s="10" t="s">
        <v>182</v>
      </c>
      <c r="G22" s="10" t="s">
        <v>103</v>
      </c>
      <c r="H22" s="10" t="s">
        <v>180</v>
      </c>
      <c r="I22" s="10" t="s">
        <v>181</v>
      </c>
      <c r="J22" s="10" t="s">
        <v>182</v>
      </c>
    </row>
    <row r="23" customFormat="false" ht="15" hidden="false" customHeight="false" outlineLevel="0" collapsed="false">
      <c r="B23" s="7" t="str">
        <f aca="false">設定!B20</f>
        <v>ポケモンカード</v>
      </c>
      <c r="C23" s="22" t="n">
        <f aca="false">SUMIFS(在庫管理!$N$11:$N$110,在庫管理!$K$11:$K$110,"在庫中",在庫管理!$C$11:$C$110,$B23)</f>
        <v>31000</v>
      </c>
      <c r="D23" s="23" t="n">
        <f aca="false">IFERROR($C23/$C$7,"")</f>
        <v>0.314720812182741</v>
      </c>
      <c r="E23" s="37" t="n">
        <f aca="false">IFERROR($D23^2*10000,0)</f>
        <v>990.491896209642</v>
      </c>
      <c r="G23" s="15" t="s">
        <v>37</v>
      </c>
      <c r="H23" s="22" t="n">
        <f aca="false">SUMIFS(在庫管理!$N$11:$N$110,在庫管理!$K$11:$K$110,"在庫中",在庫管理!$R$11:$R$110,$G23)</f>
        <v>31000</v>
      </c>
      <c r="I23" s="23" t="n">
        <f aca="false">IFERROR($H23/$C$7,"")</f>
        <v>0.314720812182741</v>
      </c>
      <c r="J23" s="37" t="n">
        <f aca="false">IFERROR($I23^2*10000,0)</f>
        <v>990.491896209642</v>
      </c>
    </row>
    <row r="24" customFormat="false" ht="15" hidden="false" customHeight="false" outlineLevel="0" collapsed="false">
      <c r="B24" s="7" t="str">
        <f aca="false">設定!B21</f>
        <v>ワンピースカード</v>
      </c>
      <c r="C24" s="22" t="n">
        <f aca="false">SUMIFS(在庫管理!$N$11:$N$110,在庫管理!$K$11:$K$110,"在庫中",在庫管理!$C$11:$C$110,$B24)</f>
        <v>18500</v>
      </c>
      <c r="D24" s="23" t="n">
        <f aca="false">IFERROR($C24/$C$7,"")</f>
        <v>0.187817258883249</v>
      </c>
      <c r="E24" s="37" t="n">
        <f aca="false">IFERROR($D24^2*10000,0)</f>
        <v>352.753227344173</v>
      </c>
      <c r="G24" s="15" t="s">
        <v>41</v>
      </c>
      <c r="H24" s="22" t="n">
        <f aca="false">SUMIFS(在庫管理!$N$11:$N$110,在庫管理!$K$11:$K$110,"在庫中",在庫管理!$R$11:$R$110,$G24)</f>
        <v>18500</v>
      </c>
      <c r="I24" s="23" t="n">
        <f aca="false">IFERROR($H24/$C$7,"")</f>
        <v>0.187817258883249</v>
      </c>
      <c r="J24" s="37" t="n">
        <f aca="false">IFERROR($I24^2*10000,0)</f>
        <v>352.753227344173</v>
      </c>
    </row>
    <row r="25" customFormat="false" ht="15" hidden="false" customHeight="false" outlineLevel="0" collapsed="false">
      <c r="B25" s="7" t="str">
        <f aca="false">設定!B22</f>
        <v>遊戯王</v>
      </c>
      <c r="C25" s="22" t="n">
        <f aca="false">SUMIFS(在庫管理!$N$11:$N$110,在庫管理!$K$11:$K$110,"在庫中",在庫管理!$C$11:$C$110,$B25)</f>
        <v>49000</v>
      </c>
      <c r="D25" s="23" t="n">
        <f aca="false">IFERROR($C25/$C$7,"")</f>
        <v>0.49746192893401</v>
      </c>
      <c r="E25" s="37" t="n">
        <f aca="false">IFERROR($D25^2*10000,0)</f>
        <v>2474.68370738746</v>
      </c>
      <c r="G25" s="15" t="s">
        <v>44</v>
      </c>
      <c r="H25" s="22" t="n">
        <f aca="false">SUMIFS(在庫管理!$N$11:$N$110,在庫管理!$K$11:$K$110,"在庫中",在庫管理!$R$11:$R$110,$G25)</f>
        <v>49000</v>
      </c>
      <c r="I25" s="23" t="n">
        <f aca="false">IFERROR($H25/$C$7,"")</f>
        <v>0.49746192893401</v>
      </c>
      <c r="J25" s="37" t="n">
        <f aca="false">IFERROR($I25^2*10000,0)</f>
        <v>2474.68370738746</v>
      </c>
    </row>
    <row r="26" customFormat="false" ht="15" hidden="false" customHeight="false" outlineLevel="0" collapsed="false">
      <c r="B26" s="7" t="str">
        <f aca="false">設定!B23</f>
        <v>デュエル・マスターズ</v>
      </c>
      <c r="C26" s="22" t="n">
        <f aca="false">SUMIFS(在庫管理!$N$11:$N$110,在庫管理!$K$11:$K$110,"在庫中",在庫管理!$C$11:$C$110,$B26)</f>
        <v>0</v>
      </c>
      <c r="D26" s="23" t="n">
        <f aca="false">IFERROR($C26/$C$7,"")</f>
        <v>0</v>
      </c>
      <c r="E26" s="37" t="n">
        <f aca="false">IFERROR($D26^2*10000,0)</f>
        <v>0</v>
      </c>
      <c r="G26" s="15" t="s">
        <v>47</v>
      </c>
      <c r="H26" s="22" t="n">
        <f aca="false">SUMIFS(在庫管理!$N$11:$N$110,在庫管理!$K$11:$K$110,"在庫中",在庫管理!$R$11:$R$110,$G26)</f>
        <v>0</v>
      </c>
      <c r="I26" s="23" t="n">
        <f aca="false">IFERROR($H26/$C$7,"")</f>
        <v>0</v>
      </c>
      <c r="J26" s="37" t="n">
        <f aca="false">IFERROR($I26^2*10000,0)</f>
        <v>0</v>
      </c>
    </row>
    <row r="27" customFormat="false" ht="15" hidden="false" customHeight="false" outlineLevel="0" collapsed="false">
      <c r="B27" s="7" t="str">
        <f aca="false">設定!B24</f>
        <v>マジック：ザ・ギャザリング</v>
      </c>
      <c r="C27" s="22" t="n">
        <f aca="false">SUMIFS(在庫管理!$N$11:$N$110,在庫管理!$K$11:$K$110,"在庫中",在庫管理!$C$11:$C$110,$B27)</f>
        <v>0</v>
      </c>
      <c r="D27" s="23" t="n">
        <f aca="false">IFERROR($C27/$C$7,"")</f>
        <v>0</v>
      </c>
      <c r="E27" s="37" t="n">
        <f aca="false">IFERROR($D27^2*10000,0)</f>
        <v>0</v>
      </c>
      <c r="G27" s="28" t="s">
        <v>141</v>
      </c>
      <c r="H27" s="30" t="n">
        <f aca="false">SUM(H23:H26)</f>
        <v>98500</v>
      </c>
      <c r="I27" s="29" t="n">
        <f aca="false">SUM(I23:I26)</f>
        <v>1</v>
      </c>
      <c r="J27" s="38" t="n">
        <f aca="false">SUM(J23:J26)</f>
        <v>3817.92883094128</v>
      </c>
    </row>
    <row r="28" customFormat="false" ht="15" hidden="false" customHeight="false" outlineLevel="0" collapsed="false">
      <c r="B28" s="7" t="str">
        <f aca="false">設定!B25</f>
        <v>その他</v>
      </c>
      <c r="C28" s="22" t="n">
        <f aca="false">SUMIFS(在庫管理!$N$11:$N$110,在庫管理!$K$11:$K$110,"在庫中",在庫管理!$C$11:$C$110,$B28)</f>
        <v>0</v>
      </c>
      <c r="D28" s="23" t="n">
        <f aca="false">IFERROR($C28/$C$7,"")</f>
        <v>0</v>
      </c>
      <c r="E28" s="37" t="n">
        <f aca="false">IFERROR($D28^2*10000,0)</f>
        <v>0</v>
      </c>
      <c r="G28" s="39" t="s">
        <v>183</v>
      </c>
      <c r="H28" s="40" t="str">
        <f aca="false">IF(J27&gt;=2500,"偏りが大きい（要注意）",IF(J27&gt;=1500,"中程度","分散（健全）"))</f>
        <v>偏りが大きい（要注意）</v>
      </c>
      <c r="I28" s="40"/>
      <c r="J28" s="40"/>
    </row>
    <row r="29" customFormat="false" ht="15" hidden="false" customHeight="false" outlineLevel="0" collapsed="false">
      <c r="B29" s="28" t="s">
        <v>141</v>
      </c>
      <c r="C29" s="30" t="n">
        <f aca="false">SUM(C23:C28)</f>
        <v>98500</v>
      </c>
      <c r="D29" s="29" t="n">
        <f aca="false">SUM(D23:D28)</f>
        <v>1</v>
      </c>
      <c r="E29" s="38" t="n">
        <f aca="false">SUM(E23:E28)</f>
        <v>3817.92883094128</v>
      </c>
    </row>
    <row r="30" customFormat="false" ht="15" hidden="false" customHeight="false" outlineLevel="0" collapsed="false">
      <c r="B30" s="39" t="s">
        <v>183</v>
      </c>
      <c r="C30" s="40" t="str">
        <f aca="false">IF(E29&gt;=2500,"偏りが大きい（要注意）",IF(E29&gt;=1500,"中程度","分散（健全）"))</f>
        <v>偏りが大きい（要注意）</v>
      </c>
      <c r="D30" s="40"/>
      <c r="E30" s="40"/>
    </row>
    <row r="32" customFormat="false" ht="15" hidden="false" customHeight="false" outlineLevel="0" collapsed="false">
      <c r="B32" s="10" t="s">
        <v>152</v>
      </c>
      <c r="C32" s="10" t="s">
        <v>180</v>
      </c>
      <c r="D32" s="10" t="s">
        <v>181</v>
      </c>
      <c r="E32" s="10" t="s">
        <v>182</v>
      </c>
      <c r="G32" s="10" t="s">
        <v>153</v>
      </c>
      <c r="H32" s="10" t="s">
        <v>180</v>
      </c>
      <c r="I32" s="10" t="s">
        <v>181</v>
      </c>
      <c r="J32" s="10" t="s">
        <v>182</v>
      </c>
    </row>
    <row r="33" customFormat="false" ht="15" hidden="false" customHeight="false" outlineLevel="0" collapsed="false">
      <c r="B33" s="7" t="str">
        <f aca="false">設定!B55</f>
        <v>リザードン</v>
      </c>
      <c r="C33" s="22" t="n">
        <f aca="false">IF($B33="","",SUMIFS(在庫管理!$N$11:$N$110,在庫管理!$K$11:$K$110,"在庫中",在庫管理!$D$11:$D$110,$B33))</f>
        <v>31000</v>
      </c>
      <c r="D33" s="23" t="n">
        <f aca="false">IFERROR($C33/$C$7,"")</f>
        <v>0.314720812182741</v>
      </c>
      <c r="E33" s="37" t="n">
        <f aca="false">IFERROR($D33^2*10000,0)</f>
        <v>990.491896209642</v>
      </c>
      <c r="G33" s="7" t="str">
        <f aca="false">設定!B78</f>
        <v>サンプル絵師A</v>
      </c>
      <c r="H33" s="22" t="n">
        <f aca="false">IF($G33="","",SUMIFS(在庫管理!$N$11:$N$110,在庫管理!$K$11:$K$110,"在庫中",在庫管理!$E$11:$E$110,$G33))</f>
        <v>31000</v>
      </c>
      <c r="I33" s="23" t="n">
        <f aca="false">IFERROR($H33/$C$7,"")</f>
        <v>0.314720812182741</v>
      </c>
      <c r="J33" s="37" t="n">
        <f aca="false">IFERROR($I33^2*10000,0)</f>
        <v>990.491896209642</v>
      </c>
    </row>
    <row r="34" customFormat="false" ht="15" hidden="false" customHeight="false" outlineLevel="0" collapsed="false">
      <c r="B34" s="7" t="str">
        <f aca="false">設定!B56</f>
        <v>ルフィ</v>
      </c>
      <c r="C34" s="22" t="n">
        <f aca="false">IF($B34="","",SUMIFS(在庫管理!$N$11:$N$110,在庫管理!$K$11:$K$110,"在庫中",在庫管理!$D$11:$D$110,$B34))</f>
        <v>18500</v>
      </c>
      <c r="D34" s="23" t="n">
        <f aca="false">IFERROR($C34/$C$7,"")</f>
        <v>0.187817258883249</v>
      </c>
      <c r="E34" s="37" t="n">
        <f aca="false">IFERROR($D34^2*10000,0)</f>
        <v>352.753227344173</v>
      </c>
      <c r="G34" s="7" t="str">
        <f aca="false">設定!B79</f>
        <v>サンプル絵師B</v>
      </c>
      <c r="H34" s="22" t="n">
        <f aca="false">IF($G34="","",SUMIFS(在庫管理!$N$11:$N$110,在庫管理!$K$11:$K$110,"在庫中",在庫管理!$E$11:$E$110,$G34))</f>
        <v>0</v>
      </c>
      <c r="I34" s="23" t="n">
        <f aca="false">IFERROR($H34/$C$7,"")</f>
        <v>0</v>
      </c>
      <c r="J34" s="37" t="n">
        <f aca="false">IFERROR($I34^2*10000,0)</f>
        <v>0</v>
      </c>
    </row>
    <row r="35" customFormat="false" ht="15" hidden="false" customHeight="false" outlineLevel="0" collapsed="false">
      <c r="B35" s="7" t="str">
        <f aca="false">設定!B57</f>
        <v>青眼の白龍</v>
      </c>
      <c r="C35" s="22" t="n">
        <f aca="false">IF($B35="","",SUMIFS(在庫管理!$N$11:$N$110,在庫管理!$K$11:$K$110,"在庫中",在庫管理!$D$11:$D$110,$B35))</f>
        <v>49000</v>
      </c>
      <c r="D35" s="23" t="n">
        <f aca="false">IFERROR($C35/$C$7,"")</f>
        <v>0.49746192893401</v>
      </c>
      <c r="E35" s="37" t="n">
        <f aca="false">IFERROR($D35^2*10000,0)</f>
        <v>2474.68370738746</v>
      </c>
      <c r="G35" s="7" t="n">
        <f aca="false">設定!B80</f>
        <v>0</v>
      </c>
      <c r="H35" s="22" t="str">
        <f aca="false">IF($G35="","",SUMIFS(在庫管理!$N$11:$N$110,在庫管理!$K$11:$K$110,"在庫中",在庫管理!$E$11:$E$110,$G35))</f>
        <v/>
      </c>
      <c r="I35" s="23" t="str">
        <f aca="false">IFERROR($H35/$C$7,"")</f>
        <v/>
      </c>
      <c r="J35" s="37" t="n">
        <f aca="false">IFERROR($I35^2*10000,0)</f>
        <v>0</v>
      </c>
    </row>
    <row r="36" customFormat="false" ht="15" hidden="false" customHeight="false" outlineLevel="0" collapsed="false">
      <c r="B36" s="7" t="n">
        <f aca="false">設定!B58</f>
        <v>0</v>
      </c>
      <c r="C36" s="22" t="str">
        <f aca="false">IF($B36="","",SUMIFS(在庫管理!$N$11:$N$110,在庫管理!$K$11:$K$110,"在庫中",在庫管理!$D$11:$D$110,$B36))</f>
        <v/>
      </c>
      <c r="D36" s="23" t="str">
        <f aca="false">IFERROR($C36/$C$7,"")</f>
        <v/>
      </c>
      <c r="E36" s="37" t="n">
        <f aca="false">IFERROR($D36^2*10000,0)</f>
        <v>0</v>
      </c>
      <c r="G36" s="7" t="n">
        <f aca="false">設定!B81</f>
        <v>0</v>
      </c>
      <c r="H36" s="22" t="str">
        <f aca="false">IF($G36="","",SUMIFS(在庫管理!$N$11:$N$110,在庫管理!$K$11:$K$110,"在庫中",在庫管理!$E$11:$E$110,$G36))</f>
        <v/>
      </c>
      <c r="I36" s="23" t="str">
        <f aca="false">IFERROR($H36/$C$7,"")</f>
        <v/>
      </c>
      <c r="J36" s="37" t="n">
        <f aca="false">IFERROR($I36^2*10000,0)</f>
        <v>0</v>
      </c>
    </row>
    <row r="37" customFormat="false" ht="15" hidden="false" customHeight="false" outlineLevel="0" collapsed="false">
      <c r="B37" s="7" t="n">
        <f aca="false">設定!B59</f>
        <v>0</v>
      </c>
      <c r="C37" s="22" t="str">
        <f aca="false">IF($B37="","",SUMIFS(在庫管理!$N$11:$N$110,在庫管理!$K$11:$K$110,"在庫中",在庫管理!$D$11:$D$110,$B37))</f>
        <v/>
      </c>
      <c r="D37" s="23" t="str">
        <f aca="false">IFERROR($C37/$C$7,"")</f>
        <v/>
      </c>
      <c r="E37" s="37" t="n">
        <f aca="false">IFERROR($D37^2*10000,0)</f>
        <v>0</v>
      </c>
      <c r="G37" s="7" t="n">
        <f aca="false">設定!B82</f>
        <v>0</v>
      </c>
      <c r="H37" s="22" t="str">
        <f aca="false">IF($G37="","",SUMIFS(在庫管理!$N$11:$N$110,在庫管理!$K$11:$K$110,"在庫中",在庫管理!$E$11:$E$110,$G37))</f>
        <v/>
      </c>
      <c r="I37" s="23" t="str">
        <f aca="false">IFERROR($H37/$C$7,"")</f>
        <v/>
      </c>
      <c r="J37" s="37" t="n">
        <f aca="false">IFERROR($I37^2*10000,0)</f>
        <v>0</v>
      </c>
    </row>
    <row r="38" customFormat="false" ht="15" hidden="false" customHeight="false" outlineLevel="0" collapsed="false">
      <c r="B38" s="7" t="n">
        <f aca="false">設定!B60</f>
        <v>0</v>
      </c>
      <c r="C38" s="22" t="str">
        <f aca="false">IF($B38="","",SUMIFS(在庫管理!$N$11:$N$110,在庫管理!$K$11:$K$110,"在庫中",在庫管理!$D$11:$D$110,$B38))</f>
        <v/>
      </c>
      <c r="D38" s="23" t="str">
        <f aca="false">IFERROR($C38/$C$7,"")</f>
        <v/>
      </c>
      <c r="E38" s="37" t="n">
        <f aca="false">IFERROR($D38^2*10000,0)</f>
        <v>0</v>
      </c>
      <c r="G38" s="7" t="n">
        <f aca="false">設定!B83</f>
        <v>0</v>
      </c>
      <c r="H38" s="22" t="str">
        <f aca="false">IF($G38="","",SUMIFS(在庫管理!$N$11:$N$110,在庫管理!$K$11:$K$110,"在庫中",在庫管理!$E$11:$E$110,$G38))</f>
        <v/>
      </c>
      <c r="I38" s="23" t="str">
        <f aca="false">IFERROR($H38/$C$7,"")</f>
        <v/>
      </c>
      <c r="J38" s="37" t="n">
        <f aca="false">IFERROR($I38^2*10000,0)</f>
        <v>0</v>
      </c>
    </row>
    <row r="39" customFormat="false" ht="15" hidden="false" customHeight="false" outlineLevel="0" collapsed="false">
      <c r="B39" s="7" t="n">
        <f aca="false">設定!B61</f>
        <v>0</v>
      </c>
      <c r="C39" s="22" t="str">
        <f aca="false">IF($B39="","",SUMIFS(在庫管理!$N$11:$N$110,在庫管理!$K$11:$K$110,"在庫中",在庫管理!$D$11:$D$110,$B39))</f>
        <v/>
      </c>
      <c r="D39" s="23" t="str">
        <f aca="false">IFERROR($C39/$C$7,"")</f>
        <v/>
      </c>
      <c r="E39" s="37" t="n">
        <f aca="false">IFERROR($D39^2*10000,0)</f>
        <v>0</v>
      </c>
      <c r="G39" s="7" t="n">
        <f aca="false">設定!B84</f>
        <v>0</v>
      </c>
      <c r="H39" s="22" t="str">
        <f aca="false">IF($G39="","",SUMIFS(在庫管理!$N$11:$N$110,在庫管理!$K$11:$K$110,"在庫中",在庫管理!$E$11:$E$110,$G39))</f>
        <v/>
      </c>
      <c r="I39" s="23" t="str">
        <f aca="false">IFERROR($H39/$C$7,"")</f>
        <v/>
      </c>
      <c r="J39" s="37" t="n">
        <f aca="false">IFERROR($I39^2*10000,0)</f>
        <v>0</v>
      </c>
    </row>
    <row r="40" customFormat="false" ht="15" hidden="false" customHeight="false" outlineLevel="0" collapsed="false">
      <c r="B40" s="7" t="n">
        <f aca="false">設定!B62</f>
        <v>0</v>
      </c>
      <c r="C40" s="22" t="str">
        <f aca="false">IF($B40="","",SUMIFS(在庫管理!$N$11:$N$110,在庫管理!$K$11:$K$110,"在庫中",在庫管理!$D$11:$D$110,$B40))</f>
        <v/>
      </c>
      <c r="D40" s="23" t="str">
        <f aca="false">IFERROR($C40/$C$7,"")</f>
        <v/>
      </c>
      <c r="E40" s="37" t="n">
        <f aca="false">IFERROR($D40^2*10000,0)</f>
        <v>0</v>
      </c>
      <c r="G40" s="7" t="n">
        <f aca="false">設定!B85</f>
        <v>0</v>
      </c>
      <c r="H40" s="22" t="str">
        <f aca="false">IF($G40="","",SUMIFS(在庫管理!$N$11:$N$110,在庫管理!$K$11:$K$110,"在庫中",在庫管理!$E$11:$E$110,$G40))</f>
        <v/>
      </c>
      <c r="I40" s="23" t="str">
        <f aca="false">IFERROR($H40/$C$7,"")</f>
        <v/>
      </c>
      <c r="J40" s="37" t="n">
        <f aca="false">IFERROR($I40^2*10000,0)</f>
        <v>0</v>
      </c>
    </row>
    <row r="41" customFormat="false" ht="15" hidden="false" customHeight="false" outlineLevel="0" collapsed="false">
      <c r="B41" s="7" t="n">
        <f aca="false">設定!B63</f>
        <v>0</v>
      </c>
      <c r="C41" s="22" t="str">
        <f aca="false">IF($B41="","",SUMIFS(在庫管理!$N$11:$N$110,在庫管理!$K$11:$K$110,"在庫中",在庫管理!$D$11:$D$110,$B41))</f>
        <v/>
      </c>
      <c r="D41" s="23" t="str">
        <f aca="false">IFERROR($C41/$C$7,"")</f>
        <v/>
      </c>
      <c r="E41" s="37" t="n">
        <f aca="false">IFERROR($D41^2*10000,0)</f>
        <v>0</v>
      </c>
      <c r="G41" s="7" t="n">
        <f aca="false">設定!B86</f>
        <v>0</v>
      </c>
      <c r="H41" s="22" t="str">
        <f aca="false">IF($G41="","",SUMIFS(在庫管理!$N$11:$N$110,在庫管理!$K$11:$K$110,"在庫中",在庫管理!$E$11:$E$110,$G41))</f>
        <v/>
      </c>
      <c r="I41" s="23" t="str">
        <f aca="false">IFERROR($H41/$C$7,"")</f>
        <v/>
      </c>
      <c r="J41" s="37" t="n">
        <f aca="false">IFERROR($I41^2*10000,0)</f>
        <v>0</v>
      </c>
    </row>
    <row r="42" customFormat="false" ht="15" hidden="false" customHeight="false" outlineLevel="0" collapsed="false">
      <c r="B42" s="7" t="n">
        <f aca="false">設定!B64</f>
        <v>0</v>
      </c>
      <c r="C42" s="22" t="str">
        <f aca="false">IF($B42="","",SUMIFS(在庫管理!$N$11:$N$110,在庫管理!$K$11:$K$110,"在庫中",在庫管理!$D$11:$D$110,$B42))</f>
        <v/>
      </c>
      <c r="D42" s="23" t="str">
        <f aca="false">IFERROR($C42/$C$7,"")</f>
        <v/>
      </c>
      <c r="E42" s="37" t="n">
        <f aca="false">IFERROR($D42^2*10000,0)</f>
        <v>0</v>
      </c>
      <c r="G42" s="7" t="n">
        <f aca="false">設定!B87</f>
        <v>0</v>
      </c>
      <c r="H42" s="22" t="str">
        <f aca="false">IF($G42="","",SUMIFS(在庫管理!$N$11:$N$110,在庫管理!$K$11:$K$110,"在庫中",在庫管理!$E$11:$E$110,$G42))</f>
        <v/>
      </c>
      <c r="I42" s="23" t="str">
        <f aca="false">IFERROR($H42/$C$7,"")</f>
        <v/>
      </c>
      <c r="J42" s="37" t="n">
        <f aca="false">IFERROR($I42^2*10000,0)</f>
        <v>0</v>
      </c>
    </row>
    <row r="43" customFormat="false" ht="15" hidden="false" customHeight="false" outlineLevel="0" collapsed="false">
      <c r="B43" s="7" t="n">
        <f aca="false">設定!B65</f>
        <v>0</v>
      </c>
      <c r="C43" s="22" t="str">
        <f aca="false">IF($B43="","",SUMIFS(在庫管理!$N$11:$N$110,在庫管理!$K$11:$K$110,"在庫中",在庫管理!$D$11:$D$110,$B43))</f>
        <v/>
      </c>
      <c r="D43" s="23" t="str">
        <f aca="false">IFERROR($C43/$C$7,"")</f>
        <v/>
      </c>
      <c r="E43" s="37" t="n">
        <f aca="false">IFERROR($D43^2*10000,0)</f>
        <v>0</v>
      </c>
      <c r="G43" s="7" t="n">
        <f aca="false">設定!B88</f>
        <v>0</v>
      </c>
      <c r="H43" s="22" t="str">
        <f aca="false">IF($G43="","",SUMIFS(在庫管理!$N$11:$N$110,在庫管理!$K$11:$K$110,"在庫中",在庫管理!$E$11:$E$110,$G43))</f>
        <v/>
      </c>
      <c r="I43" s="23" t="str">
        <f aca="false">IFERROR($H43/$C$7,"")</f>
        <v/>
      </c>
      <c r="J43" s="37" t="n">
        <f aca="false">IFERROR($I43^2*10000,0)</f>
        <v>0</v>
      </c>
    </row>
    <row r="44" customFormat="false" ht="15" hidden="false" customHeight="false" outlineLevel="0" collapsed="false">
      <c r="B44" s="7" t="n">
        <f aca="false">設定!B66</f>
        <v>0</v>
      </c>
      <c r="C44" s="22" t="str">
        <f aca="false">IF($B44="","",SUMIFS(在庫管理!$N$11:$N$110,在庫管理!$K$11:$K$110,"在庫中",在庫管理!$D$11:$D$110,$B44))</f>
        <v/>
      </c>
      <c r="D44" s="23" t="str">
        <f aca="false">IFERROR($C44/$C$7,"")</f>
        <v/>
      </c>
      <c r="E44" s="37" t="n">
        <f aca="false">IFERROR($D44^2*10000,0)</f>
        <v>0</v>
      </c>
      <c r="G44" s="7" t="n">
        <f aca="false">設定!B89</f>
        <v>0</v>
      </c>
      <c r="H44" s="22" t="str">
        <f aca="false">IF($G44="","",SUMIFS(在庫管理!$N$11:$N$110,在庫管理!$K$11:$K$110,"在庫中",在庫管理!$E$11:$E$110,$G44))</f>
        <v/>
      </c>
      <c r="I44" s="23" t="str">
        <f aca="false">IFERROR($H44/$C$7,"")</f>
        <v/>
      </c>
      <c r="J44" s="37" t="n">
        <f aca="false">IFERROR($I44^2*10000,0)</f>
        <v>0</v>
      </c>
    </row>
    <row r="45" customFormat="false" ht="15" hidden="false" customHeight="false" outlineLevel="0" collapsed="false">
      <c r="B45" s="7" t="n">
        <f aca="false">設定!B67</f>
        <v>0</v>
      </c>
      <c r="C45" s="22" t="str">
        <f aca="false">IF($B45="","",SUMIFS(在庫管理!$N$11:$N$110,在庫管理!$K$11:$K$110,"在庫中",在庫管理!$D$11:$D$110,$B45))</f>
        <v/>
      </c>
      <c r="D45" s="23" t="str">
        <f aca="false">IFERROR($C45/$C$7,"")</f>
        <v/>
      </c>
      <c r="E45" s="37" t="n">
        <f aca="false">IFERROR($D45^2*10000,0)</f>
        <v>0</v>
      </c>
      <c r="G45" s="7" t="n">
        <f aca="false">設定!B90</f>
        <v>0</v>
      </c>
      <c r="H45" s="22" t="str">
        <f aca="false">IF($G45="","",SUMIFS(在庫管理!$N$11:$N$110,在庫管理!$K$11:$K$110,"在庫中",在庫管理!$E$11:$E$110,$G45))</f>
        <v/>
      </c>
      <c r="I45" s="23" t="str">
        <f aca="false">IFERROR($H45/$C$7,"")</f>
        <v/>
      </c>
      <c r="J45" s="37" t="n">
        <f aca="false">IFERROR($I45^2*10000,0)</f>
        <v>0</v>
      </c>
    </row>
    <row r="46" customFormat="false" ht="15" hidden="false" customHeight="false" outlineLevel="0" collapsed="false">
      <c r="B46" s="7" t="n">
        <f aca="false">設定!B68</f>
        <v>0</v>
      </c>
      <c r="C46" s="22" t="str">
        <f aca="false">IF($B46="","",SUMIFS(在庫管理!$N$11:$N$110,在庫管理!$K$11:$K$110,"在庫中",在庫管理!$D$11:$D$110,$B46))</f>
        <v/>
      </c>
      <c r="D46" s="23" t="str">
        <f aca="false">IFERROR($C46/$C$7,"")</f>
        <v/>
      </c>
      <c r="E46" s="37" t="n">
        <f aca="false">IFERROR($D46^2*10000,0)</f>
        <v>0</v>
      </c>
      <c r="G46" s="7" t="n">
        <f aca="false">設定!B91</f>
        <v>0</v>
      </c>
      <c r="H46" s="22" t="str">
        <f aca="false">IF($G46="","",SUMIFS(在庫管理!$N$11:$N$110,在庫管理!$K$11:$K$110,"在庫中",在庫管理!$E$11:$E$110,$G46))</f>
        <v/>
      </c>
      <c r="I46" s="23" t="str">
        <f aca="false">IFERROR($H46/$C$7,"")</f>
        <v/>
      </c>
      <c r="J46" s="37" t="n">
        <f aca="false">IFERROR($I46^2*10000,0)</f>
        <v>0</v>
      </c>
    </row>
    <row r="47" customFormat="false" ht="15" hidden="false" customHeight="false" outlineLevel="0" collapsed="false">
      <c r="B47" s="7" t="n">
        <f aca="false">設定!B69</f>
        <v>0</v>
      </c>
      <c r="C47" s="22" t="str">
        <f aca="false">IF($B47="","",SUMIFS(在庫管理!$N$11:$N$110,在庫管理!$K$11:$K$110,"在庫中",在庫管理!$D$11:$D$110,$B47))</f>
        <v/>
      </c>
      <c r="D47" s="23" t="str">
        <f aca="false">IFERROR($C47/$C$7,"")</f>
        <v/>
      </c>
      <c r="E47" s="37" t="n">
        <f aca="false">IFERROR($D47^2*10000,0)</f>
        <v>0</v>
      </c>
      <c r="G47" s="7" t="n">
        <f aca="false">設定!B92</f>
        <v>0</v>
      </c>
      <c r="H47" s="22" t="str">
        <f aca="false">IF($G47="","",SUMIFS(在庫管理!$N$11:$N$110,在庫管理!$K$11:$K$110,"在庫中",在庫管理!$E$11:$E$110,$G47))</f>
        <v/>
      </c>
      <c r="I47" s="23" t="str">
        <f aca="false">IFERROR($H47/$C$7,"")</f>
        <v/>
      </c>
      <c r="J47" s="37" t="n">
        <f aca="false">IFERROR($I47^2*10000,0)</f>
        <v>0</v>
      </c>
    </row>
    <row r="48" customFormat="false" ht="15" hidden="false" customHeight="false" outlineLevel="0" collapsed="false">
      <c r="B48" s="7" t="n">
        <f aca="false">設定!B70</f>
        <v>0</v>
      </c>
      <c r="C48" s="22" t="str">
        <f aca="false">IF($B48="","",SUMIFS(在庫管理!$N$11:$N$110,在庫管理!$K$11:$K$110,"在庫中",在庫管理!$D$11:$D$110,$B48))</f>
        <v/>
      </c>
      <c r="D48" s="23" t="str">
        <f aca="false">IFERROR($C48/$C$7,"")</f>
        <v/>
      </c>
      <c r="E48" s="37" t="n">
        <f aca="false">IFERROR($D48^2*10000,0)</f>
        <v>0</v>
      </c>
      <c r="G48" s="7" t="n">
        <f aca="false">設定!B93</f>
        <v>0</v>
      </c>
      <c r="H48" s="22" t="str">
        <f aca="false">IF($G48="","",SUMIFS(在庫管理!$N$11:$N$110,在庫管理!$K$11:$K$110,"在庫中",在庫管理!$E$11:$E$110,$G48))</f>
        <v/>
      </c>
      <c r="I48" s="23" t="str">
        <f aca="false">IFERROR($H48/$C$7,"")</f>
        <v/>
      </c>
      <c r="J48" s="37" t="n">
        <f aca="false">IFERROR($I48^2*10000,0)</f>
        <v>0</v>
      </c>
    </row>
    <row r="49" customFormat="false" ht="15" hidden="false" customHeight="false" outlineLevel="0" collapsed="false">
      <c r="B49" s="7" t="n">
        <f aca="false">設定!B71</f>
        <v>0</v>
      </c>
      <c r="C49" s="22" t="str">
        <f aca="false">IF($B49="","",SUMIFS(在庫管理!$N$11:$N$110,在庫管理!$K$11:$K$110,"在庫中",在庫管理!$D$11:$D$110,$B49))</f>
        <v/>
      </c>
      <c r="D49" s="23" t="str">
        <f aca="false">IFERROR($C49/$C$7,"")</f>
        <v/>
      </c>
      <c r="E49" s="37" t="n">
        <f aca="false">IFERROR($D49^2*10000,0)</f>
        <v>0</v>
      </c>
      <c r="G49" s="7" t="n">
        <f aca="false">設定!B94</f>
        <v>0</v>
      </c>
      <c r="H49" s="22" t="str">
        <f aca="false">IF($G49="","",SUMIFS(在庫管理!$N$11:$N$110,在庫管理!$K$11:$K$110,"在庫中",在庫管理!$E$11:$E$110,$G49))</f>
        <v/>
      </c>
      <c r="I49" s="23" t="str">
        <f aca="false">IFERROR($H49/$C$7,"")</f>
        <v/>
      </c>
      <c r="J49" s="37" t="n">
        <f aca="false">IFERROR($I49^2*10000,0)</f>
        <v>0</v>
      </c>
    </row>
    <row r="50" customFormat="false" ht="15" hidden="false" customHeight="false" outlineLevel="0" collapsed="false">
      <c r="B50" s="7" t="n">
        <f aca="false">設定!B72</f>
        <v>0</v>
      </c>
      <c r="C50" s="22" t="str">
        <f aca="false">IF($B50="","",SUMIFS(在庫管理!$N$11:$N$110,在庫管理!$K$11:$K$110,"在庫中",在庫管理!$D$11:$D$110,$B50))</f>
        <v/>
      </c>
      <c r="D50" s="23" t="str">
        <f aca="false">IFERROR($C50/$C$7,"")</f>
        <v/>
      </c>
      <c r="E50" s="37" t="n">
        <f aca="false">IFERROR($D50^2*10000,0)</f>
        <v>0</v>
      </c>
      <c r="G50" s="7" t="n">
        <f aca="false">設定!B95</f>
        <v>0</v>
      </c>
      <c r="H50" s="22" t="str">
        <f aca="false">IF($G50="","",SUMIFS(在庫管理!$N$11:$N$110,在庫管理!$K$11:$K$110,"在庫中",在庫管理!$E$11:$E$110,$G50))</f>
        <v/>
      </c>
      <c r="I50" s="23" t="str">
        <f aca="false">IFERROR($H50/$C$7,"")</f>
        <v/>
      </c>
      <c r="J50" s="37" t="n">
        <f aca="false">IFERROR($I50^2*10000,0)</f>
        <v>0</v>
      </c>
    </row>
    <row r="51" customFormat="false" ht="15" hidden="false" customHeight="false" outlineLevel="0" collapsed="false">
      <c r="B51" s="7" t="n">
        <f aca="false">設定!B73</f>
        <v>0</v>
      </c>
      <c r="C51" s="22" t="str">
        <f aca="false">IF($B51="","",SUMIFS(在庫管理!$N$11:$N$110,在庫管理!$K$11:$K$110,"在庫中",在庫管理!$D$11:$D$110,$B51))</f>
        <v/>
      </c>
      <c r="D51" s="23" t="str">
        <f aca="false">IFERROR($C51/$C$7,"")</f>
        <v/>
      </c>
      <c r="E51" s="37" t="n">
        <f aca="false">IFERROR($D51^2*10000,0)</f>
        <v>0</v>
      </c>
      <c r="G51" s="7" t="n">
        <f aca="false">設定!B96</f>
        <v>0</v>
      </c>
      <c r="H51" s="22" t="str">
        <f aca="false">IF($G51="","",SUMIFS(在庫管理!$N$11:$N$110,在庫管理!$K$11:$K$110,"在庫中",在庫管理!$E$11:$E$110,$G51))</f>
        <v/>
      </c>
      <c r="I51" s="23" t="str">
        <f aca="false">IFERROR($H51/$C$7,"")</f>
        <v/>
      </c>
      <c r="J51" s="37" t="n">
        <f aca="false">IFERROR($I51^2*10000,0)</f>
        <v>0</v>
      </c>
    </row>
    <row r="52" customFormat="false" ht="15" hidden="false" customHeight="false" outlineLevel="0" collapsed="false">
      <c r="B52" s="7" t="n">
        <f aca="false">設定!B74</f>
        <v>0</v>
      </c>
      <c r="C52" s="22" t="str">
        <f aca="false">IF($B52="","",SUMIFS(在庫管理!$N$11:$N$110,在庫管理!$K$11:$K$110,"在庫中",在庫管理!$D$11:$D$110,$B52))</f>
        <v/>
      </c>
      <c r="D52" s="23" t="str">
        <f aca="false">IFERROR($C52/$C$7,"")</f>
        <v/>
      </c>
      <c r="E52" s="37" t="n">
        <f aca="false">IFERROR($D52^2*10000,0)</f>
        <v>0</v>
      </c>
      <c r="G52" s="7" t="n">
        <f aca="false">設定!B97</f>
        <v>0</v>
      </c>
      <c r="H52" s="22" t="str">
        <f aca="false">IF($G52="","",SUMIFS(在庫管理!$N$11:$N$110,在庫管理!$K$11:$K$110,"在庫中",在庫管理!$E$11:$E$110,$G52))</f>
        <v/>
      </c>
      <c r="I52" s="23" t="str">
        <f aca="false">IFERROR($H52/$C$7,"")</f>
        <v/>
      </c>
      <c r="J52" s="37" t="n">
        <f aca="false">IFERROR($I52^2*10000,0)</f>
        <v>0</v>
      </c>
    </row>
    <row r="53" customFormat="false" ht="15" hidden="false" customHeight="false" outlineLevel="0" collapsed="false">
      <c r="B53" s="41" t="s">
        <v>184</v>
      </c>
      <c r="C53" s="42" t="n">
        <f aca="false">MAX(0,SUMIFS(在庫管理!$N$11:$N$110,在庫管理!$K$11:$K$110,"在庫中")-SUM(C33:C52))</f>
        <v>0</v>
      </c>
      <c r="D53" s="43" t="n">
        <f aca="false">IFERROR($C53/$C$7,"")</f>
        <v>0</v>
      </c>
      <c r="E53" s="44" t="n">
        <f aca="false">IFERROR($D53^2*10000,0)</f>
        <v>0</v>
      </c>
      <c r="G53" s="41" t="s">
        <v>185</v>
      </c>
      <c r="H53" s="42" t="n">
        <f aca="false">MAX(0,SUMIFS(在庫管理!$N$11:$N$110,在庫管理!$K$11:$K$110,"在庫中")-SUM(H33:H52))</f>
        <v>67500</v>
      </c>
      <c r="I53" s="43" t="n">
        <f aca="false">IFERROR($H53/$C$7,"")</f>
        <v>0.685279187817259</v>
      </c>
      <c r="J53" s="44" t="n">
        <f aca="false">IFERROR($I53^2*10000,0)</f>
        <v>4696.07565255482</v>
      </c>
    </row>
    <row r="54" customFormat="false" ht="15" hidden="false" customHeight="false" outlineLevel="0" collapsed="false">
      <c r="B54" s="28" t="s">
        <v>141</v>
      </c>
      <c r="C54" s="30" t="n">
        <f aca="false">SUM(C33:C53)</f>
        <v>98500</v>
      </c>
      <c r="D54" s="29" t="n">
        <f aca="false">SUM(D33:D53)</f>
        <v>1</v>
      </c>
      <c r="E54" s="38" t="n">
        <f aca="false">SUM(E33:E53)</f>
        <v>3817.92883094128</v>
      </c>
      <c r="G54" s="28" t="s">
        <v>141</v>
      </c>
      <c r="H54" s="30" t="n">
        <f aca="false">SUM(H33:H53)</f>
        <v>98500</v>
      </c>
      <c r="I54" s="29" t="n">
        <f aca="false">SUM(I33:I53)</f>
        <v>1</v>
      </c>
      <c r="J54" s="38" t="n">
        <f aca="false">SUM(J33:J53)</f>
        <v>5686.56754876446</v>
      </c>
    </row>
    <row r="55" customFormat="false" ht="15" hidden="false" customHeight="false" outlineLevel="0" collapsed="false">
      <c r="B55" s="39" t="s">
        <v>183</v>
      </c>
      <c r="C55" s="40" t="str">
        <f aca="false">IF(E54&gt;=2500,"偏りが大きい（要注意）",IF(E54&gt;=1500,"中程度","分散（健全）"))</f>
        <v>偏りが大きい（要注意）</v>
      </c>
      <c r="D55" s="40"/>
      <c r="E55" s="40"/>
      <c r="G55" s="39" t="s">
        <v>183</v>
      </c>
      <c r="H55" s="40" t="str">
        <f aca="false">IF(J54&gt;=2500,"偏りが大きい（要注意）",IF(J54&gt;=1500,"中程度","分散（健全）"))</f>
        <v>偏りが大きい（要注意）</v>
      </c>
      <c r="I55" s="40"/>
      <c r="J55" s="40"/>
    </row>
  </sheetData>
  <mergeCells count="4">
    <mergeCell ref="H28:J28"/>
    <mergeCell ref="C30:E30"/>
    <mergeCell ref="C55:E55"/>
    <mergeCell ref="H55:J55"/>
  </mergeCells>
  <conditionalFormatting sqref="E23:E28">
    <cfRule type="colorScale" priority="2">
      <colorScale>
        <cfvo type="num" val="0"/>
        <cfvo type="num" val="2500"/>
        <cfvo type="num" val="10000"/>
        <color rgb="FFC6EFCE"/>
        <color rgb="FFFFEB9C"/>
        <color rgb="FFFFC7CE"/>
      </colorScale>
    </cfRule>
  </conditionalFormatting>
  <conditionalFormatting sqref="J23:J26">
    <cfRule type="colorScale" priority="3">
      <colorScale>
        <cfvo type="num" val="0"/>
        <cfvo type="num" val="2500"/>
        <cfvo type="num" val="10000"/>
        <color rgb="FFC6EFCE"/>
        <color rgb="FFFFEB9C"/>
        <color rgb="FFFFC7CE"/>
      </colorScale>
    </cfRule>
  </conditionalFormatting>
  <conditionalFormatting sqref="E33:E53">
    <cfRule type="colorScale" priority="4">
      <colorScale>
        <cfvo type="num" val="0"/>
        <cfvo type="num" val="2500"/>
        <cfvo type="num" val="10000"/>
        <color rgb="FFC6EFCE"/>
        <color rgb="FFFFEB9C"/>
        <color rgb="FFFFC7CE"/>
      </colorScale>
    </cfRule>
  </conditionalFormatting>
  <conditionalFormatting sqref="J33:J53">
    <cfRule type="colorScale" priority="5">
      <colorScale>
        <cfvo type="num" val="0"/>
        <cfvo type="num" val="2500"/>
        <cfvo type="num" val="10000"/>
        <color rgb="FFC6EFCE"/>
        <color rgb="FFFFEB9C"/>
        <color rgb="FFFFC7CE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2026-08-02T23:56:43Z</dcterms:created>
  <dc:creator>openpyxl</dc:creator>
  <dc:description/>
  <dc:language>en-US</dc:language>
  <cp:lastModifiedBy/>
  <dcterms:modified xsi:type="dcterms:W3CDTF">2026-08-02T23:56:46Z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