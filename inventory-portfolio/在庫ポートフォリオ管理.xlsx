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設定" sheetId="2" state="visible" r:id="rId4"/>
    <sheet name="ウォッチリスト" sheetId="3" state="visible" r:id="rId5"/>
    <sheet name="仕入れ計画" sheetId="4" state="visible" r:id="rId6"/>
    <sheet name="在庫管理" sheetId="5" state="visible" r:id="rId7"/>
    <sheet name="ダッシュボード" sheetId="6" state="visible" r:id="rId8"/>
    <sheet name="スケジュール" sheetId="7" state="visible" r:id="rId9"/>
  </sheets>
  <definedNames>
    <definedName function="false" hidden="false" localSheetId="2" name="_xlnm.Print_Titles" vbProcedure="false">ウォッチリスト!$12:$12</definedName>
    <definedName function="false" hidden="false" localSheetId="6" name="_xlnm.Print_Titles" vbProcedure="false">スケジュール!$5:$5</definedName>
    <definedName function="false" hidden="false" localSheetId="4" name="_xlnm.Print_Titles" vbProcedure="false">在庫管理!$10:$10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<sst xmlns="http://schemas.openxmlformats.org/spreadsheetml/2006/main" count="344" uniqueCount="220">
  <si>
    <t xml:space="preserve">在庫ポートフォリオ管理ブック</t>
  </si>
  <si>
    <r>
      <rPr>
        <i val="true"/>
        <sz val="9"/>
        <color rgb="FF666666"/>
        <rFont val="WenQuanYi Zen Hei"/>
        <family val="2"/>
      </rPr>
      <t xml:space="preserve">スニダン等の転売在庫を</t>
    </r>
    <r>
      <rPr>
        <i val="true"/>
        <sz val="9"/>
        <color rgb="FF666666"/>
        <rFont val="Yu Gothic"/>
        <family val="0"/>
        <charset val="1"/>
      </rPr>
      <t xml:space="preserve">4</t>
    </r>
    <r>
      <rPr>
        <i val="true"/>
        <sz val="9"/>
        <color rgb="FF666666"/>
        <rFont val="WenQuanYi Zen Hei"/>
        <family val="2"/>
      </rPr>
      <t xml:space="preserve">象限で管理するための運用テンプレートです。</t>
    </r>
  </si>
  <si>
    <t xml:space="preserve">■ シート構成</t>
  </si>
  <si>
    <r>
      <rPr>
        <sz val="10"/>
        <color rgb="FF000000"/>
        <rFont val="WenQuanYi Zen Hei"/>
        <family val="2"/>
      </rPr>
      <t xml:space="preserve">　設定：</t>
    </r>
    <r>
      <rPr>
        <sz val="10"/>
        <color rgb="FF000000"/>
        <rFont val="Yu Gothic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象限のしきい値、カテゴリ／レアリティ／ステータスのマスタ、集中リスク集計用のキャラ・イラストレーターリストを管理します。まずこのシートを事業実態に合わせて調整してください。</t>
    </r>
  </si>
  <si>
    <r>
      <rPr>
        <sz val="10"/>
        <color rgb="FF000000"/>
        <rFont val="WenQuanYi Zen Hei"/>
        <family val="2"/>
      </rPr>
      <t xml:space="preserve">　ウォッチリスト：スニダン等で気になっている未仕入れの銘柄を登録すると、想定売却日数と想定粗利率から自動で</t>
    </r>
    <r>
      <rPr>
        <sz val="10"/>
        <color rgb="FF000000"/>
        <rFont val="Yu Gothic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象限に振り分けます（実務タスク</t>
    </r>
    <r>
      <rPr>
        <sz val="10"/>
        <color rgb="FF000000"/>
        <rFont val="Yu Gothic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）。</t>
    </r>
  </si>
  <si>
    <r>
      <rPr>
        <sz val="10"/>
        <color rgb="FF000000"/>
        <rFont val="WenQuanYi Zen Hei"/>
        <family val="2"/>
      </rPr>
      <t xml:space="preserve">　仕入れ計画：象限ごとに「何を・いくらまで・どの属性なら仕入れてよいか」のルールと月間予算配分を定義します（実務タスク</t>
    </r>
    <r>
      <rPr>
        <sz val="10"/>
        <color rgb="FF000000"/>
        <rFont val="Yu Gothic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）。</t>
    </r>
  </si>
  <si>
    <r>
      <rPr>
        <sz val="10"/>
        <color rgb="FF000000"/>
        <rFont val="WenQuanYi Zen Hei"/>
        <family val="2"/>
      </rPr>
      <t xml:space="preserve">　在庫管理：実在庫を</t>
    </r>
    <r>
      <rPr>
        <sz val="10"/>
        <color rgb="FF000000"/>
        <rFont val="Yu Gothic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分類＋タグ（キャラ／イラストレーター／絶版／周年／レアリティ）で登録し、ポートフォリオ比率を自動計算します（実務タスク</t>
    </r>
    <r>
      <rPr>
        <sz val="10"/>
        <color rgb="FF000000"/>
        <rFont val="Yu Gothic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）。</t>
    </r>
  </si>
  <si>
    <r>
      <rPr>
        <sz val="10"/>
        <color rgb="FF000000"/>
        <rFont val="WenQuanYi Zen Hei"/>
        <family val="2"/>
      </rPr>
      <t xml:space="preserve">　ダッシュボード：資本効率（在庫回転率・</t>
    </r>
    <r>
      <rPr>
        <sz val="10"/>
        <color rgb="FF000000"/>
        <rFont val="Yu Gothic"/>
        <family val="0"/>
        <charset val="1"/>
      </rPr>
      <t xml:space="preserve">GMROI</t>
    </r>
    <r>
      <rPr>
        <sz val="10"/>
        <color rgb="FF000000"/>
        <rFont val="WenQuanYi Zen Hei"/>
        <family val="2"/>
      </rPr>
      <t xml:space="preserve">・</t>
    </r>
    <r>
      <rPr>
        <sz val="10"/>
        <color rgb="FF000000"/>
        <rFont val="Yu Gothic"/>
        <family val="0"/>
        <charset val="1"/>
      </rPr>
      <t xml:space="preserve">ROI</t>
    </r>
    <r>
      <rPr>
        <sz val="10"/>
        <color rgb="FF000000"/>
        <rFont val="WenQuanYi Zen Hei"/>
        <family val="2"/>
      </rPr>
      <t xml:space="preserve">）と実行流動性（換金可能比率・滞留比率）、集中リスク（</t>
    </r>
    <r>
      <rPr>
        <sz val="10"/>
        <color rgb="FF000000"/>
        <rFont val="Yu Gothic"/>
        <family val="0"/>
        <charset val="1"/>
      </rPr>
      <t xml:space="preserve">HHI</t>
    </r>
    <r>
      <rPr>
        <sz val="10"/>
        <color rgb="FF000000"/>
        <rFont val="WenQuanYi Zen Hei"/>
        <family val="2"/>
      </rPr>
      <t xml:space="preserve">）を自動集計します（実務タスク</t>
    </r>
    <r>
      <rPr>
        <sz val="10"/>
        <color rgb="FF000000"/>
        <rFont val="Yu Gothic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）。</t>
    </r>
  </si>
  <si>
    <r>
      <rPr>
        <sz val="10"/>
        <color rgb="FF000000"/>
        <rFont val="WenQuanYi Zen Hei"/>
        <family val="2"/>
      </rPr>
      <t xml:space="preserve">　スケジュール：</t>
    </r>
    <r>
      <rPr>
        <sz val="10"/>
        <color rgb="FF000000"/>
        <rFont val="Yu Gothic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月の本格運用に向けたタスクとスケジュールです（実務タスク</t>
    </r>
    <r>
      <rPr>
        <sz val="10"/>
        <color rgb="FF000000"/>
        <rFont val="Yu Gothic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）。</t>
    </r>
  </si>
  <si>
    <t xml:space="preserve">■ 入力ルール（色分け）</t>
  </si>
  <si>
    <t xml:space="preserve">　青字：手入力セル。実データに置き換えてください。</t>
  </si>
  <si>
    <t xml:space="preserve">　黄色背景：しきい値・予算など、事業判断が必要な重要な前提値。</t>
  </si>
  <si>
    <t xml:space="preserve">　オレンジ背景：担当者未アサインなど、要記入の項目。</t>
  </si>
  <si>
    <t xml:space="preserve">　黒字：自動計算セル。数式が入っているため直接編集しないでください。</t>
  </si>
  <si>
    <t xml:space="preserve">　緑字：他シートを参照しているセル。</t>
  </si>
  <si>
    <t xml:space="preserve">■ 使い始め方</t>
  </si>
  <si>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Yu Gothic"/>
        <family val="0"/>
        <charset val="1"/>
      </rPr>
      <t xml:space="preserve">Step1</t>
    </r>
    <r>
      <rPr>
        <sz val="10"/>
        <color rgb="FF000000"/>
        <rFont val="WenQuanYi Zen Hei"/>
        <family val="2"/>
      </rPr>
      <t xml:space="preserve">：「設定」シートでカテゴリ・レアリティ・</t>
    </r>
    <r>
      <rPr>
        <sz val="10"/>
        <color rgb="FF000000"/>
        <rFont val="Yu Gothic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象限しきい値を確認・調整する。</t>
    </r>
  </si>
  <si>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Yu Gothic"/>
        <family val="0"/>
        <charset val="1"/>
      </rPr>
      <t xml:space="preserve">Step2</t>
    </r>
    <r>
      <rPr>
        <sz val="10"/>
        <color rgb="FF000000"/>
        <rFont val="WenQuanYi Zen Hei"/>
        <family val="2"/>
      </rPr>
      <t xml:space="preserve">：「ウォッチリスト」にスニダンのウォッチリスト登録分を入力し、象限分布を確認する。</t>
    </r>
  </si>
  <si>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Yu Gothic"/>
        <family val="0"/>
        <charset val="1"/>
      </rPr>
      <t xml:space="preserve">Step3</t>
    </r>
    <r>
      <rPr>
        <sz val="10"/>
        <color rgb="FF000000"/>
        <rFont val="WenQuanYi Zen Hei"/>
        <family val="2"/>
      </rPr>
      <t xml:space="preserve">：「仕入れ計画」で象限別の上限単価・許容属性・予算配分を確定する。</t>
    </r>
  </si>
  <si>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Yu Gothic"/>
        <family val="0"/>
        <charset val="1"/>
      </rPr>
      <t xml:space="preserve">Step4</t>
    </r>
    <r>
      <rPr>
        <sz val="10"/>
        <color rgb="FF000000"/>
        <rFont val="WenQuanYi Zen Hei"/>
        <family val="2"/>
      </rPr>
      <t xml:space="preserve">：「在庫管理」に実在庫を棚卸し登録し、ポートフォリオ比率と集中リスクを確認する。</t>
    </r>
  </si>
  <si>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Yu Gothic"/>
        <family val="0"/>
        <charset val="1"/>
      </rPr>
      <t xml:space="preserve">Step5</t>
    </r>
    <r>
      <rPr>
        <sz val="10"/>
        <color rgb="FF000000"/>
        <rFont val="WenQuanYi Zen Hei"/>
        <family val="2"/>
      </rPr>
      <t xml:space="preserve">：「ダッシュボード」を週次で確認し、「スケジュール」に沿って運用を回す。</t>
    </r>
  </si>
  <si>
    <t xml:space="preserve">■ 注意事項</t>
  </si>
  <si>
    <t xml:space="preserve">　サンプル行：各シートの数行はサンプル値です。実データ入力時は上書き、または不要なら内容を削除してください（数式は残しても構いません）。</t>
  </si>
  <si>
    <r>
      <rPr>
        <sz val="10"/>
        <color rgb="FF000000"/>
        <rFont val="WenQuanYi Zen Hei"/>
        <family val="2"/>
      </rPr>
      <t xml:space="preserve">　集中リスク</t>
    </r>
    <r>
      <rPr>
        <sz val="10"/>
        <color rgb="FF000000"/>
        <rFont val="Yu Gothic"/>
        <family val="0"/>
        <charset val="1"/>
      </rPr>
      <t xml:space="preserve">(HHI)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Yu Gothic"/>
        <family val="0"/>
        <charset val="1"/>
      </rPr>
      <t xml:space="preserve">HHI = Σ(</t>
    </r>
    <r>
      <rPr>
        <sz val="10"/>
        <color rgb="FF000000"/>
        <rFont val="WenQuanYi Zen Hei"/>
        <family val="2"/>
      </rPr>
      <t xml:space="preserve">構成比</t>
    </r>
    <r>
      <rPr>
        <sz val="10"/>
        <color rgb="FF000000"/>
        <rFont val="Yu Gothic"/>
        <family val="0"/>
        <charset val="1"/>
      </rPr>
      <t xml:space="preserve">^2)×10,000</t>
    </r>
    <r>
      <rPr>
        <sz val="10"/>
        <color rgb="FF000000"/>
        <rFont val="WenQuanYi Zen Hei"/>
        <family val="2"/>
      </rPr>
      <t xml:space="preserve">。目安：</t>
    </r>
    <r>
      <rPr>
        <sz val="10"/>
        <color rgb="FF000000"/>
        <rFont val="Yu Gothic"/>
        <family val="0"/>
        <charset val="1"/>
      </rPr>
      <t xml:space="preserve">1,500</t>
    </r>
    <r>
      <rPr>
        <sz val="10"/>
        <color rgb="FF000000"/>
        <rFont val="WenQuanYi Zen Hei"/>
        <family val="2"/>
      </rPr>
      <t xml:space="preserve">未満＝分散、</t>
    </r>
    <r>
      <rPr>
        <sz val="10"/>
        <color rgb="FF000000"/>
        <rFont val="Yu Gothic"/>
        <family val="0"/>
        <charset val="1"/>
      </rPr>
      <t xml:space="preserve">1,500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Yu Gothic"/>
        <family val="0"/>
        <charset val="1"/>
      </rPr>
      <t xml:space="preserve">2,500</t>
    </r>
    <r>
      <rPr>
        <sz val="10"/>
        <color rgb="FF000000"/>
        <rFont val="WenQuanYi Zen Hei"/>
        <family val="2"/>
      </rPr>
      <t xml:space="preserve">＝中程度、</t>
    </r>
    <r>
      <rPr>
        <sz val="10"/>
        <color rgb="FF000000"/>
        <rFont val="Yu Gothic"/>
        <family val="0"/>
        <charset val="1"/>
      </rPr>
      <t xml:space="preserve">2,500</t>
    </r>
    <r>
      <rPr>
        <sz val="10"/>
        <color rgb="FF000000"/>
        <rFont val="WenQuanYi Zen Hei"/>
        <family val="2"/>
      </rPr>
      <t xml:space="preserve">以上＝集中リスク高（米国の産業集中度評価で一般的に使われる区分を援用）。</t>
    </r>
  </si>
  <si>
    <t xml:space="preserve">設定</t>
  </si>
  <si>
    <r>
      <rPr>
        <i val="true"/>
        <sz val="9"/>
        <color rgb="FF666666"/>
        <rFont val="Yu Gothic"/>
        <family val="0"/>
        <charset val="1"/>
      </rPr>
      <t xml:space="preserve">4</t>
    </r>
    <r>
      <rPr>
        <i val="true"/>
        <sz val="9"/>
        <color rgb="FF666666"/>
        <rFont val="WenQuanYi Zen Hei"/>
        <family val="2"/>
      </rPr>
      <t xml:space="preserve">象限のしきい値とマスタデータ。事業実態に合わせて調整してください。</t>
    </r>
  </si>
  <si>
    <r>
      <rPr>
        <b val="true"/>
        <sz val="11"/>
        <color rgb="FF1F4E78"/>
        <rFont val="Yu Gothic"/>
        <family val="0"/>
        <charset val="1"/>
      </rPr>
      <t xml:space="preserve">■ 4</t>
    </r>
    <r>
      <rPr>
        <b val="true"/>
        <sz val="11"/>
        <color rgb="FF1F4E78"/>
        <rFont val="WenQuanYi Zen Hei"/>
        <family val="2"/>
      </rPr>
      <t xml:space="preserve">象限 判定しきい値</t>
    </r>
  </si>
  <si>
    <t xml:space="preserve">流動性しきい値（想定売却日数・この日数以下を高流動性とする）</t>
  </si>
  <si>
    <t xml:space="preserve">収益性しきい値（想定粗利率・この率以上を高収益とする）</t>
  </si>
  <si>
    <t xml:space="preserve">滞留在庫リスクしきい値（想定売却日数がこの日数を超えたら滞留リスクとして警告）</t>
  </si>
  <si>
    <r>
      <rPr>
        <b val="true"/>
        <sz val="11"/>
        <color rgb="FF1F4E78"/>
        <rFont val="Yu Gothic"/>
        <family val="0"/>
        <charset val="1"/>
      </rPr>
      <t xml:space="preserve">■ 4</t>
    </r>
    <r>
      <rPr>
        <b val="true"/>
        <sz val="11"/>
        <color rgb="FF1F4E78"/>
        <rFont val="WenQuanYi Zen Hei"/>
        <family val="2"/>
      </rPr>
      <t xml:space="preserve">象限マスタ（分類ロジック・方針の目安）</t>
    </r>
  </si>
  <si>
    <t xml:space="preserve">象限コード</t>
  </si>
  <si>
    <t xml:space="preserve">流動性</t>
  </si>
  <si>
    <t xml:space="preserve">収益性</t>
  </si>
  <si>
    <t xml:space="preserve">方針の目安</t>
  </si>
  <si>
    <r>
      <rPr>
        <sz val="10"/>
        <color rgb="FF000000"/>
        <rFont val="Yu Gothic"/>
        <family val="0"/>
        <charset val="1"/>
      </rPr>
      <t xml:space="preserve">I(</t>
    </r>
    <r>
      <rPr>
        <sz val="10"/>
        <color rgb="FF000000"/>
        <rFont val="WenQuanYi Zen Hei"/>
        <family val="2"/>
      </rPr>
      <t xml:space="preserve">コア</t>
    </r>
    <r>
      <rPr>
        <sz val="10"/>
        <color rgb="FF000000"/>
        <rFont val="Yu Gothic"/>
        <family val="0"/>
        <charset val="1"/>
      </rPr>
      <t xml:space="preserve">)</t>
    </r>
  </si>
  <si>
    <t xml:space="preserve">高（早く売れる）</t>
  </si>
  <si>
    <t xml:space="preserve">高（利益率が高い）</t>
  </si>
  <si>
    <t xml:space="preserve">積極的に仕入れる中心銘柄。予算配分と在庫上限を厚めに。</t>
  </si>
  <si>
    <r>
      <rPr>
        <sz val="10"/>
        <color rgb="FF000000"/>
        <rFont val="Yu Gothic"/>
        <family val="0"/>
        <charset val="1"/>
      </rPr>
      <t xml:space="preserve">II(</t>
    </r>
    <r>
      <rPr>
        <sz val="10"/>
        <color rgb="FF000000"/>
        <rFont val="WenQuanYi Zen Hei"/>
        <family val="2"/>
      </rPr>
      <t xml:space="preserve">回転</t>
    </r>
    <r>
      <rPr>
        <sz val="10"/>
        <color rgb="FF000000"/>
        <rFont val="Yu Gothic"/>
        <family val="0"/>
        <charset val="1"/>
      </rPr>
      <t xml:space="preserve">)</t>
    </r>
  </si>
  <si>
    <t xml:space="preserve">低（薄利）</t>
  </si>
  <si>
    <t xml:space="preserve">資金回転を稼ぐ数量枠。単価上限を抑えて回転数で稼ぐ。</t>
  </si>
  <si>
    <r>
      <rPr>
        <sz val="10"/>
        <color rgb="FF000000"/>
        <rFont val="Yu Gothic"/>
        <family val="0"/>
        <charset val="1"/>
      </rPr>
      <t xml:space="preserve">III(</t>
    </r>
    <r>
      <rPr>
        <sz val="10"/>
        <color rgb="FF000000"/>
        <rFont val="WenQuanYi Zen Hei"/>
        <family val="2"/>
      </rPr>
      <t xml:space="preserve">厳選</t>
    </r>
    <r>
      <rPr>
        <sz val="10"/>
        <color rgb="FF000000"/>
        <rFont val="Yu Gothic"/>
        <family val="0"/>
        <charset val="1"/>
      </rPr>
      <t xml:space="preserve">)</t>
    </r>
  </si>
  <si>
    <t xml:space="preserve">低（時間がかかる）</t>
  </si>
  <si>
    <t xml:space="preserve">資金拘束を許容できる範囲で少数厳選。上限点数を絞る。</t>
  </si>
  <si>
    <r>
      <rPr>
        <sz val="10"/>
        <color rgb="FF000000"/>
        <rFont val="Yu Gothic"/>
        <family val="0"/>
        <charset val="1"/>
      </rPr>
      <t xml:space="preserve">IV(</t>
    </r>
    <r>
      <rPr>
        <sz val="10"/>
        <color rgb="FF000000"/>
        <rFont val="WenQuanYi Zen Hei"/>
        <family val="2"/>
      </rPr>
      <t xml:space="preserve">見送り</t>
    </r>
    <r>
      <rPr>
        <sz val="10"/>
        <color rgb="FF000000"/>
        <rFont val="Yu Gothic"/>
        <family val="0"/>
        <charset val="1"/>
      </rPr>
      <t xml:space="preserve">)</t>
    </r>
  </si>
  <si>
    <t xml:space="preserve">原則仕入れ見送り。ウォッチのみ継続し再評価を待つ。</t>
  </si>
  <si>
    <t xml:space="preserve">■ カテゴリマスタ（在庫管理・ウォッチリストのプルダウンで使用）</t>
  </si>
  <si>
    <t xml:space="preserve">カテゴリ名</t>
  </si>
  <si>
    <t xml:space="preserve">フィギュア</t>
  </si>
  <si>
    <t xml:space="preserve">トレーディングカード</t>
  </si>
  <si>
    <t xml:space="preserve">スニーカー</t>
  </si>
  <si>
    <t xml:space="preserve">アパレル</t>
  </si>
  <si>
    <t xml:space="preserve">アートトイ・グッズ</t>
  </si>
  <si>
    <t xml:space="preserve">その他</t>
  </si>
  <si>
    <t xml:space="preserve">■ レアリティマスタ</t>
  </si>
  <si>
    <t xml:space="preserve">レアリティ</t>
  </si>
  <si>
    <t xml:space="preserve">SS</t>
  </si>
  <si>
    <t xml:space="preserve">S</t>
  </si>
  <si>
    <t xml:space="preserve">A</t>
  </si>
  <si>
    <t xml:space="preserve">B</t>
  </si>
  <si>
    <t xml:space="preserve">C</t>
  </si>
  <si>
    <t xml:space="preserve">■ ステータスマスタ</t>
  </si>
  <si>
    <t xml:space="preserve">ステータス</t>
  </si>
  <si>
    <t xml:space="preserve">在庫中</t>
  </si>
  <si>
    <t xml:space="preserve">受注済</t>
  </si>
  <si>
    <t xml:space="preserve">売却済</t>
  </si>
  <si>
    <r>
      <rPr>
        <b val="true"/>
        <sz val="11"/>
        <color rgb="FF1F4E78"/>
        <rFont val="WenQuanYi Zen Hei"/>
        <family val="2"/>
      </rPr>
      <t xml:space="preserve">■ キャラクター集中リスク集計対象リスト（在庫管理シートで使うキャラ名を入力すると、ダッシュボードで自動集計されます。最大</t>
    </r>
    <r>
      <rPr>
        <b val="true"/>
        <sz val="11"/>
        <color rgb="FF1F4E78"/>
        <rFont val="Yu Gothic"/>
        <family val="0"/>
        <charset val="1"/>
      </rPr>
      <t xml:space="preserve">20</t>
    </r>
    <r>
      <rPr>
        <b val="true"/>
        <sz val="11"/>
        <color rgb="FF1F4E78"/>
        <rFont val="WenQuanYi Zen Hei"/>
        <family val="2"/>
      </rPr>
      <t xml:space="preserve">件）</t>
    </r>
  </si>
  <si>
    <t xml:space="preserve">キャラ名</t>
  </si>
  <si>
    <r>
      <rPr>
        <sz val="10"/>
        <color rgb="FF0000FF"/>
        <rFont val="WenQuanYi Zen Hei"/>
        <family val="2"/>
      </rPr>
      <t xml:space="preserve">サンプルキャラ</t>
    </r>
    <r>
      <rPr>
        <sz val="10"/>
        <color rgb="FF0000FF"/>
        <rFont val="Yu Gothic"/>
        <family val="0"/>
        <charset val="1"/>
      </rPr>
      <t xml:space="preserve">A</t>
    </r>
  </si>
  <si>
    <r>
      <rPr>
        <sz val="10"/>
        <color rgb="FF0000FF"/>
        <rFont val="WenQuanYi Zen Hei"/>
        <family val="2"/>
      </rPr>
      <t xml:space="preserve">サンプルキャラ</t>
    </r>
    <r>
      <rPr>
        <sz val="10"/>
        <color rgb="FF0000FF"/>
        <rFont val="Yu Gothic"/>
        <family val="0"/>
        <charset val="1"/>
      </rPr>
      <t xml:space="preserve">B</t>
    </r>
  </si>
  <si>
    <r>
      <rPr>
        <sz val="10"/>
        <color rgb="FF0000FF"/>
        <rFont val="WenQuanYi Zen Hei"/>
        <family val="2"/>
      </rPr>
      <t xml:space="preserve">サンプルキャラ</t>
    </r>
    <r>
      <rPr>
        <sz val="10"/>
        <color rgb="FF0000FF"/>
        <rFont val="Yu Gothic"/>
        <family val="0"/>
        <charset val="1"/>
      </rPr>
      <t xml:space="preserve">C</t>
    </r>
  </si>
  <si>
    <r>
      <rPr>
        <b val="true"/>
        <sz val="11"/>
        <color rgb="FF1F4E78"/>
        <rFont val="WenQuanYi Zen Hei"/>
        <family val="2"/>
      </rPr>
      <t xml:space="preserve">■ イラストレーター集中リスク集計対象リスト（最大</t>
    </r>
    <r>
      <rPr>
        <b val="true"/>
        <sz val="11"/>
        <color rgb="FF1F4E78"/>
        <rFont val="Yu Gothic"/>
        <family val="0"/>
        <charset val="1"/>
      </rPr>
      <t xml:space="preserve">20</t>
    </r>
    <r>
      <rPr>
        <b val="true"/>
        <sz val="11"/>
        <color rgb="FF1F4E78"/>
        <rFont val="WenQuanYi Zen Hei"/>
        <family val="2"/>
      </rPr>
      <t xml:space="preserve">件）</t>
    </r>
  </si>
  <si>
    <t xml:space="preserve">イラストレーター名</t>
  </si>
  <si>
    <r>
      <rPr>
        <sz val="10"/>
        <color rgb="FF0000FF"/>
        <rFont val="WenQuanYi Zen Hei"/>
        <family val="2"/>
      </rPr>
      <t xml:space="preserve">サンプル絵師</t>
    </r>
    <r>
      <rPr>
        <sz val="10"/>
        <color rgb="FF0000FF"/>
        <rFont val="Yu Gothic"/>
        <family val="0"/>
        <charset val="1"/>
      </rPr>
      <t xml:space="preserve">A</t>
    </r>
  </si>
  <si>
    <r>
      <rPr>
        <sz val="10"/>
        <color rgb="FF0000FF"/>
        <rFont val="WenQuanYi Zen Hei"/>
        <family val="2"/>
      </rPr>
      <t xml:space="preserve">サンプル絵師</t>
    </r>
    <r>
      <rPr>
        <sz val="10"/>
        <color rgb="FF0000FF"/>
        <rFont val="Yu Gothic"/>
        <family val="0"/>
        <charset val="1"/>
      </rPr>
      <t xml:space="preserve">B</t>
    </r>
  </si>
  <si>
    <r>
      <rPr>
        <b val="true"/>
        <sz val="16"/>
        <color rgb="FF1F4E78"/>
        <rFont val="WenQuanYi Zen Hei"/>
        <family val="2"/>
      </rPr>
      <t xml:space="preserve">ウォッチリスト（</t>
    </r>
    <r>
      <rPr>
        <b val="true"/>
        <sz val="16"/>
        <color rgb="FF1F4E78"/>
        <rFont val="Yu Gothic"/>
        <family val="0"/>
        <charset val="1"/>
      </rPr>
      <t xml:space="preserve">4</t>
    </r>
    <r>
      <rPr>
        <b val="true"/>
        <sz val="16"/>
        <color rgb="FF1F4E78"/>
        <rFont val="WenQuanYi Zen Hei"/>
        <family val="2"/>
      </rPr>
      <t xml:space="preserve">象限分類）</t>
    </r>
  </si>
  <si>
    <r>
      <rPr>
        <i val="true"/>
        <sz val="9"/>
        <color rgb="FF666666"/>
        <rFont val="WenQuanYi Zen Hei"/>
        <family val="2"/>
      </rPr>
      <t xml:space="preserve">スニダン等のウォッチリスト登録分を入力すると、想定売却日数・想定粗利率から自動で</t>
    </r>
    <r>
      <rPr>
        <i val="true"/>
        <sz val="9"/>
        <color rgb="FF666666"/>
        <rFont val="Yu Gothic"/>
        <family val="0"/>
        <charset val="1"/>
      </rPr>
      <t xml:space="preserve">4</t>
    </r>
    <r>
      <rPr>
        <i val="true"/>
        <sz val="9"/>
        <color rgb="FF666666"/>
        <rFont val="WenQuanYi Zen Hei"/>
        <family val="2"/>
      </rPr>
      <t xml:space="preserve">象限に振り分けます。青字セルのみ入力してください。</t>
    </r>
  </si>
  <si>
    <t xml:space="preserve">■ 象限別 候補数サマリー</t>
  </si>
  <si>
    <r>
      <rPr>
        <sz val="10"/>
        <color rgb="FF000000"/>
        <rFont val="Yu Gothic"/>
        <family val="0"/>
        <charset val="1"/>
      </rPr>
      <t xml:space="preserve">I(</t>
    </r>
    <r>
      <rPr>
        <sz val="10"/>
        <color rgb="FF000000"/>
        <rFont val="WenQuanYi Zen Hei"/>
        <family val="2"/>
      </rPr>
      <t xml:space="preserve">コア</t>
    </r>
    <r>
      <rPr>
        <sz val="10"/>
        <color rgb="FF000000"/>
        <rFont val="Yu Gothic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候補数</t>
    </r>
  </si>
  <si>
    <r>
      <rPr>
        <sz val="10"/>
        <color rgb="FF000000"/>
        <rFont val="Yu Gothic"/>
        <family val="0"/>
        <charset val="1"/>
      </rPr>
      <t xml:space="preserve">II(</t>
    </r>
    <r>
      <rPr>
        <sz val="10"/>
        <color rgb="FF000000"/>
        <rFont val="WenQuanYi Zen Hei"/>
        <family val="2"/>
      </rPr>
      <t xml:space="preserve">回転</t>
    </r>
    <r>
      <rPr>
        <sz val="10"/>
        <color rgb="FF000000"/>
        <rFont val="Yu Gothic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候補数</t>
    </r>
  </si>
  <si>
    <r>
      <rPr>
        <sz val="10"/>
        <color rgb="FF000000"/>
        <rFont val="Yu Gothic"/>
        <family val="0"/>
        <charset val="1"/>
      </rPr>
      <t xml:space="preserve">III(</t>
    </r>
    <r>
      <rPr>
        <sz val="10"/>
        <color rgb="FF000000"/>
        <rFont val="WenQuanYi Zen Hei"/>
        <family val="2"/>
      </rPr>
      <t xml:space="preserve">厳選</t>
    </r>
    <r>
      <rPr>
        <sz val="10"/>
        <color rgb="FF000000"/>
        <rFont val="Yu Gothic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候補数</t>
    </r>
  </si>
  <si>
    <r>
      <rPr>
        <sz val="10"/>
        <color rgb="FF000000"/>
        <rFont val="Yu Gothic"/>
        <family val="0"/>
        <charset val="1"/>
      </rPr>
      <t xml:space="preserve">IV(</t>
    </r>
    <r>
      <rPr>
        <sz val="10"/>
        <color rgb="FF000000"/>
        <rFont val="WenQuanYi Zen Hei"/>
        <family val="2"/>
      </rPr>
      <t xml:space="preserve">見送り</t>
    </r>
    <r>
      <rPr>
        <sz val="10"/>
        <color rgb="FF000000"/>
        <rFont val="Yu Gothic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候補数</t>
    </r>
  </si>
  <si>
    <t xml:space="preserve">No</t>
  </si>
  <si>
    <t xml:space="preserve">銘柄名</t>
  </si>
  <si>
    <t xml:space="preserve">カテゴリ</t>
  </si>
  <si>
    <t xml:space="preserve">スニダン参考価格
（現在相場）</t>
  </si>
  <si>
    <t xml:space="preserve">想定仕入値</t>
  </si>
  <si>
    <t xml:space="preserve">想定売却価格</t>
  </si>
  <si>
    <t xml:space="preserve">想定売却
日数</t>
  </si>
  <si>
    <t xml:space="preserve">想定粗利額</t>
  </si>
  <si>
    <t xml:space="preserve">想定粗利率</t>
  </si>
  <si>
    <t xml:space="preserve">象限</t>
  </si>
  <si>
    <t xml:space="preserve">仕入れ判定</t>
  </si>
  <si>
    <t xml:space="preserve">メモ</t>
  </si>
  <si>
    <r>
      <rPr>
        <sz val="10"/>
        <color rgb="FF0000FF"/>
        <rFont val="WenQuanYi Zen Hei"/>
        <family val="2"/>
      </rPr>
      <t xml:space="preserve">サンプル銘柄</t>
    </r>
    <r>
      <rPr>
        <sz val="10"/>
        <color rgb="FF0000FF"/>
        <rFont val="Yu Gothic"/>
        <family val="0"/>
        <charset val="1"/>
      </rPr>
      <t xml:space="preserve">A</t>
    </r>
    <r>
      <rPr>
        <sz val="10"/>
        <color rgb="FF0000FF"/>
        <rFont val="WenQuanYi Zen Hei"/>
        <family val="2"/>
      </rPr>
      <t xml:space="preserve">（人気キャラ フィギュア）</t>
    </r>
  </si>
  <si>
    <r>
      <rPr>
        <sz val="10"/>
        <color rgb="FF0000FF"/>
        <rFont val="WenQuanYi Zen Hei"/>
        <family val="2"/>
      </rPr>
      <t xml:space="preserve">サンプル銘柄</t>
    </r>
    <r>
      <rPr>
        <sz val="10"/>
        <color rgb="FF0000FF"/>
        <rFont val="Yu Gothic"/>
        <family val="0"/>
        <charset val="1"/>
      </rPr>
      <t xml:space="preserve">B</t>
    </r>
    <r>
      <rPr>
        <sz val="10"/>
        <color rgb="FF0000FF"/>
        <rFont val="WenQuanYi Zen Hei"/>
        <family val="2"/>
      </rPr>
      <t xml:space="preserve">（定番スニーカー）</t>
    </r>
  </si>
  <si>
    <r>
      <rPr>
        <sz val="10"/>
        <color rgb="FF0000FF"/>
        <rFont val="WenQuanYi Zen Hei"/>
        <family val="2"/>
      </rPr>
      <t xml:space="preserve">サンプル銘柄</t>
    </r>
    <r>
      <rPr>
        <sz val="10"/>
        <color rgb="FF0000FF"/>
        <rFont val="Yu Gothic"/>
        <family val="0"/>
        <charset val="1"/>
      </rPr>
      <t xml:space="preserve">C</t>
    </r>
    <r>
      <rPr>
        <sz val="10"/>
        <color rgb="FF0000FF"/>
        <rFont val="WenQuanYi Zen Hei"/>
        <family val="2"/>
      </rPr>
      <t xml:space="preserve">（絶版トレカ</t>
    </r>
    <r>
      <rPr>
        <sz val="10"/>
        <color rgb="FF0000FF"/>
        <rFont val="Yu Gothic"/>
        <family val="0"/>
        <charset val="1"/>
      </rPr>
      <t xml:space="preserve">BOX</t>
    </r>
    <r>
      <rPr>
        <sz val="10"/>
        <color rgb="FF0000FF"/>
        <rFont val="WenQuanYi Zen Hei"/>
        <family val="2"/>
      </rPr>
      <t xml:space="preserve">）</t>
    </r>
  </si>
  <si>
    <t xml:space="preserve">絶版・入手困難</t>
  </si>
  <si>
    <r>
      <rPr>
        <sz val="10"/>
        <color rgb="FF0000FF"/>
        <rFont val="WenQuanYi Zen Hei"/>
        <family val="2"/>
      </rPr>
      <t xml:space="preserve">サンプル銘柄</t>
    </r>
    <r>
      <rPr>
        <sz val="10"/>
        <color rgb="FF0000FF"/>
        <rFont val="Yu Gothic"/>
        <family val="0"/>
        <charset val="1"/>
      </rPr>
      <t xml:space="preserve">D</t>
    </r>
    <r>
      <rPr>
        <sz val="10"/>
        <color rgb="FF0000FF"/>
        <rFont val="WenQuanYi Zen Hei"/>
        <family val="2"/>
      </rPr>
      <t xml:space="preserve">（周年記念グッズ）</t>
    </r>
  </si>
  <si>
    <t xml:space="preserve">周年限定</t>
  </si>
  <si>
    <r>
      <rPr>
        <sz val="10"/>
        <color rgb="FF0000FF"/>
        <rFont val="WenQuanYi Zen Hei"/>
        <family val="2"/>
      </rPr>
      <t xml:space="preserve">サンプル銘柄</t>
    </r>
    <r>
      <rPr>
        <sz val="10"/>
        <color rgb="FF0000FF"/>
        <rFont val="Yu Gothic"/>
        <family val="0"/>
        <charset val="1"/>
      </rPr>
      <t xml:space="preserve">E</t>
    </r>
    <r>
      <rPr>
        <sz val="10"/>
        <color rgb="FF0000FF"/>
        <rFont val="WenQuanYi Zen Hei"/>
        <family val="2"/>
      </rPr>
      <t xml:space="preserve">（一般アパレル）</t>
    </r>
  </si>
  <si>
    <t xml:space="preserve">仕入れ計画（象限別ルール）</t>
  </si>
  <si>
    <t xml:space="preserve">「何を・いくらまで・どの属性なら仕入れてよいか」を象限ごとに定義し、月間予算を配分します。黄色セルが判断の起点です。</t>
  </si>
  <si>
    <t xml:space="preserve">月間仕入れ総予算</t>
  </si>
  <si>
    <t xml:space="preserve">呼称</t>
  </si>
  <si>
    <t xml:space="preserve">方針</t>
  </si>
  <si>
    <t xml:space="preserve">対象カテゴリ例</t>
  </si>
  <si>
    <t xml:space="preserve">上限仕入単価</t>
  </si>
  <si>
    <t xml:space="preserve">許容レアリティ</t>
  </si>
  <si>
    <t xml:space="preserve">許容属性条件（絶版／周年／キャラ・イラストレーター等）</t>
  </si>
  <si>
    <t xml:space="preserve">予算配分比率</t>
  </si>
  <si>
    <t xml:space="preserve">予算配分金額</t>
  </si>
  <si>
    <t xml:space="preserve">在庫上限点数</t>
  </si>
  <si>
    <t xml:space="preserve">ウォッチ候補数</t>
  </si>
  <si>
    <t xml:space="preserve">現在庫点数</t>
  </si>
  <si>
    <t xml:space="preserve">積極的に仕入れる中心銘柄。優先確保。</t>
  </si>
  <si>
    <t xml:space="preserve">フィギュア、スニーカー</t>
  </si>
  <si>
    <r>
      <rPr>
        <sz val="10"/>
        <color rgb="FF0000FF"/>
        <rFont val="Yu Gothic"/>
        <family val="0"/>
        <charset val="1"/>
      </rPr>
      <t xml:space="preserve">S</t>
    </r>
    <r>
      <rPr>
        <sz val="10"/>
        <color rgb="FF0000FF"/>
        <rFont val="WenQuanYi Zen Hei"/>
        <family val="2"/>
      </rPr>
      <t xml:space="preserve">以上</t>
    </r>
  </si>
  <si>
    <t xml:space="preserve">絶版 または 周年記念 のいずれかに該当</t>
  </si>
  <si>
    <t xml:space="preserve">資金回転重視。数量で稼ぐ。</t>
  </si>
  <si>
    <t xml:space="preserve">トレーディングカード、アパレル</t>
  </si>
  <si>
    <r>
      <rPr>
        <sz val="10"/>
        <color rgb="FF0000FF"/>
        <rFont val="Yu Gothic"/>
        <family val="0"/>
        <charset val="1"/>
      </rPr>
      <t xml:space="preserve">A</t>
    </r>
    <r>
      <rPr>
        <sz val="10"/>
        <color rgb="FF0000FF"/>
        <rFont val="WenQuanYi Zen Hei"/>
        <family val="2"/>
      </rPr>
      <t xml:space="preserve">以上</t>
    </r>
  </si>
  <si>
    <t xml:space="preserve">特になし（回転優先）</t>
  </si>
  <si>
    <t xml:space="preserve">少数厳選。資金拘束を許容できる範囲で。</t>
  </si>
  <si>
    <t xml:space="preserve">フィギュア、アートトイ・グッズ</t>
  </si>
  <si>
    <t xml:space="preserve">絶版 かつ 人気キャラ／人気イラストレーターに限定</t>
  </si>
  <si>
    <t xml:space="preserve">原則仕入れ見送り。ウォッチのみ継続。</t>
  </si>
  <si>
    <t xml:space="preserve">-</t>
  </si>
  <si>
    <t xml:space="preserve">仕入れ対象外（再評価待ち）</t>
  </si>
  <si>
    <t xml:space="preserve">合計</t>
  </si>
  <si>
    <r>
      <rPr>
        <i val="true"/>
        <sz val="9"/>
        <color rgb="FF666666"/>
        <rFont val="WenQuanYi Zen Hei"/>
        <family val="2"/>
      </rPr>
      <t xml:space="preserve">※ 予算配分比率の合計は</t>
    </r>
    <r>
      <rPr>
        <i val="true"/>
        <sz val="9"/>
        <color rgb="FF666666"/>
        <rFont val="Yu Gothic"/>
        <family val="0"/>
        <charset val="1"/>
      </rPr>
      <t xml:space="preserve">100%</t>
    </r>
    <r>
      <rPr>
        <i val="true"/>
        <sz val="9"/>
        <color rgb="FF666666"/>
        <rFont val="WenQuanYi Zen Hei"/>
        <family val="2"/>
      </rPr>
      <t xml:space="preserve">になるように調整してください（赤色表示は</t>
    </r>
    <r>
      <rPr>
        <i val="true"/>
        <sz val="9"/>
        <color rgb="FF666666"/>
        <rFont val="Yu Gothic"/>
        <family val="0"/>
        <charset val="1"/>
      </rPr>
      <t xml:space="preserve">100%</t>
    </r>
    <r>
      <rPr>
        <i val="true"/>
        <sz val="9"/>
        <color rgb="FF666666"/>
        <rFont val="WenQuanYi Zen Hei"/>
        <family val="2"/>
      </rPr>
      <t xml:space="preserve">以外を意味します）。</t>
    </r>
  </si>
  <si>
    <t xml:space="preserve">在庫管理シート（実在庫・ポートフォリオ管理）</t>
  </si>
  <si>
    <t xml:space="preserve">青字セルのみ入力してください。ステータスが「在庫中」の行のみ、集計・ポートフォリオ比率に反映されます。</t>
  </si>
  <si>
    <t xml:space="preserve">総仕入額（在庫中）</t>
  </si>
  <si>
    <t xml:space="preserve">総時価（在庫中）</t>
  </si>
  <si>
    <t xml:space="preserve">含み損益</t>
  </si>
  <si>
    <t xml:space="preserve">含み損益率</t>
  </si>
  <si>
    <t xml:space="preserve">在庫点数（在庫中）</t>
  </si>
  <si>
    <t xml:space="preserve">商品名</t>
  </si>
  <si>
    <t xml:space="preserve">キャラ</t>
  </si>
  <si>
    <t xml:space="preserve">イラストレーター</t>
  </si>
  <si>
    <t xml:space="preserve">絶版</t>
  </si>
  <si>
    <t xml:space="preserve">周年</t>
  </si>
  <si>
    <t xml:space="preserve">仕入日</t>
  </si>
  <si>
    <t xml:space="preserve">仕入値</t>
  </si>
  <si>
    <t xml:space="preserve">現在時価
（想定売却価格）</t>
  </si>
  <si>
    <t xml:space="preserve">ポートフォリオ
比率</t>
  </si>
  <si>
    <r>
      <rPr>
        <sz val="10"/>
        <color rgb="FF0000FF"/>
        <rFont val="WenQuanYi Zen Hei"/>
        <family val="2"/>
      </rPr>
      <t xml:space="preserve">サンプル商品</t>
    </r>
    <r>
      <rPr>
        <sz val="10"/>
        <color rgb="FF0000FF"/>
        <rFont val="Yu Gothic"/>
        <family val="0"/>
        <charset val="1"/>
      </rPr>
      <t xml:space="preserve">A</t>
    </r>
    <r>
      <rPr>
        <sz val="10"/>
        <color rgb="FF0000FF"/>
        <rFont val="WenQuanYi Zen Hei"/>
        <family val="2"/>
      </rPr>
      <t xml:space="preserve">（人気キャラ フィギュア）</t>
    </r>
  </si>
  <si>
    <t xml:space="preserve">○</t>
  </si>
  <si>
    <t xml:space="preserve">×</t>
  </si>
  <si>
    <t xml:space="preserve">2026-06-15</t>
  </si>
  <si>
    <r>
      <rPr>
        <sz val="10"/>
        <color rgb="FF0000FF"/>
        <rFont val="WenQuanYi Zen Hei"/>
        <family val="2"/>
      </rPr>
      <t xml:space="preserve">サンプル商品</t>
    </r>
    <r>
      <rPr>
        <sz val="10"/>
        <color rgb="FF0000FF"/>
        <rFont val="Yu Gothic"/>
        <family val="0"/>
        <charset val="1"/>
      </rPr>
      <t xml:space="preserve">B</t>
    </r>
    <r>
      <rPr>
        <sz val="10"/>
        <color rgb="FF0000FF"/>
        <rFont val="WenQuanYi Zen Hei"/>
        <family val="2"/>
      </rPr>
      <t xml:space="preserve">（定番スニーカー）</t>
    </r>
  </si>
  <si>
    <t xml:space="preserve">2026-07-01</t>
  </si>
  <si>
    <r>
      <rPr>
        <sz val="10"/>
        <color rgb="FF0000FF"/>
        <rFont val="WenQuanYi Zen Hei"/>
        <family val="2"/>
      </rPr>
      <t xml:space="preserve">サンプル商品</t>
    </r>
    <r>
      <rPr>
        <sz val="10"/>
        <color rgb="FF0000FF"/>
        <rFont val="Yu Gothic"/>
        <family val="0"/>
        <charset val="1"/>
      </rPr>
      <t xml:space="preserve">C</t>
    </r>
    <r>
      <rPr>
        <sz val="10"/>
        <color rgb="FF0000FF"/>
        <rFont val="WenQuanYi Zen Hei"/>
        <family val="2"/>
      </rPr>
      <t xml:space="preserve">（絶版トレカ</t>
    </r>
    <r>
      <rPr>
        <sz val="10"/>
        <color rgb="FF0000FF"/>
        <rFont val="Yu Gothic"/>
        <family val="0"/>
        <charset val="1"/>
      </rPr>
      <t xml:space="preserve">BOX</t>
    </r>
    <r>
      <rPr>
        <sz val="10"/>
        <color rgb="FF0000FF"/>
        <rFont val="WenQuanYi Zen Hei"/>
        <family val="2"/>
      </rPr>
      <t xml:space="preserve">）</t>
    </r>
  </si>
  <si>
    <t xml:space="preserve">2026-05-20</t>
  </si>
  <si>
    <r>
      <rPr>
        <sz val="10"/>
        <color rgb="FF0000FF"/>
        <rFont val="WenQuanYi Zen Hei"/>
        <family val="2"/>
      </rPr>
      <t xml:space="preserve">サンプル商品</t>
    </r>
    <r>
      <rPr>
        <sz val="10"/>
        <color rgb="FF0000FF"/>
        <rFont val="Yu Gothic"/>
        <family val="0"/>
        <charset val="1"/>
      </rPr>
      <t xml:space="preserve">D</t>
    </r>
    <r>
      <rPr>
        <sz val="10"/>
        <color rgb="FF0000FF"/>
        <rFont val="WenQuanYi Zen Hei"/>
        <family val="2"/>
      </rPr>
      <t xml:space="preserve">（周年記念グッズ）</t>
    </r>
  </si>
  <si>
    <t xml:space="preserve">2026-07-10</t>
  </si>
  <si>
    <r>
      <rPr>
        <sz val="10"/>
        <color rgb="FF0000FF"/>
        <rFont val="WenQuanYi Zen Hei"/>
        <family val="2"/>
      </rPr>
      <t xml:space="preserve">サンプル商品</t>
    </r>
    <r>
      <rPr>
        <sz val="10"/>
        <color rgb="FF0000FF"/>
        <rFont val="Yu Gothic"/>
        <family val="0"/>
        <charset val="1"/>
      </rPr>
      <t xml:space="preserve">E</t>
    </r>
    <r>
      <rPr>
        <sz val="10"/>
        <color rgb="FF0000FF"/>
        <rFont val="WenQuanYi Zen Hei"/>
        <family val="2"/>
      </rPr>
      <t xml:space="preserve">（一般アパレル）</t>
    </r>
  </si>
  <si>
    <t xml:space="preserve">2026-04-01</t>
  </si>
  <si>
    <t xml:space="preserve">ダッシュボード</t>
  </si>
  <si>
    <t xml:space="preserve">在庫管理シートを自動集計します。手入力は不要です（すべて数式）。</t>
  </si>
  <si>
    <t xml:space="preserve">■ 資本効率</t>
  </si>
  <si>
    <r>
      <rPr>
        <sz val="10"/>
        <color rgb="FF000000"/>
        <rFont val="WenQuanYi Zen Hei"/>
        <family val="2"/>
      </rPr>
      <t xml:space="preserve">含み損益率（簡易</t>
    </r>
    <r>
      <rPr>
        <sz val="10"/>
        <color rgb="FF000000"/>
        <rFont val="Yu Gothic"/>
        <family val="0"/>
        <charset val="1"/>
      </rPr>
      <t xml:space="preserve">ROI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</si>
  <si>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Yu Gothic"/>
        <family val="0"/>
        <charset val="1"/>
      </rPr>
      <t xml:space="preserve">GMROI</t>
    </r>
    <r>
      <rPr>
        <sz val="10"/>
        <color rgb="FF000000"/>
        <rFont val="WenQuanYi Zen Hei"/>
        <family val="2"/>
      </rPr>
      <t xml:space="preserve">（簡易・総時価</t>
    </r>
    <r>
      <rPr>
        <sz val="10"/>
        <color rgb="FF000000"/>
        <rFont val="Yu Gothic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総仕入額）</t>
    </r>
  </si>
  <si>
    <t xml:space="preserve">加重平均想定売却日数</t>
  </si>
  <si>
    <r>
      <rPr>
        <sz val="10"/>
        <color rgb="FF000000"/>
        <rFont val="WenQuanYi Zen Hei"/>
        <family val="2"/>
      </rPr>
      <t xml:space="preserve">在庫回転率（年換算・</t>
    </r>
    <r>
      <rPr>
        <sz val="10"/>
        <color rgb="FF000000"/>
        <rFont val="Yu Gothic"/>
        <family val="0"/>
        <charset val="1"/>
      </rPr>
      <t xml:space="preserve">365</t>
    </r>
    <r>
      <rPr>
        <sz val="10"/>
        <color rgb="FF000000"/>
        <rFont val="WenQuanYi Zen Hei"/>
        <family val="2"/>
      </rPr>
      <t xml:space="preserve">日</t>
    </r>
    <r>
      <rPr>
        <sz val="10"/>
        <color rgb="FF000000"/>
        <rFont val="Yu Gothic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平均売却日数）</t>
    </r>
  </si>
  <si>
    <t xml:space="preserve">■ 実行流動性</t>
  </si>
  <si>
    <r>
      <rPr>
        <sz val="10"/>
        <color rgb="FF000000"/>
        <rFont val="WenQuanYi Zen Hei"/>
        <family val="2"/>
      </rPr>
      <t xml:space="preserve">高流動性しきい値（設定</t>
    </r>
    <r>
      <rPr>
        <sz val="10"/>
        <color rgb="FF000000"/>
        <rFont val="Yu Gothic"/>
        <family val="0"/>
        <charset val="1"/>
      </rPr>
      <t xml:space="preserve">!C6</t>
    </r>
    <r>
      <rPr>
        <sz val="10"/>
        <color rgb="FF000000"/>
        <rFont val="WenQuanYi Zen Hei"/>
        <family val="2"/>
      </rPr>
      <t xml:space="preserve">）以内 換金可能比率</t>
    </r>
  </si>
  <si>
    <r>
      <rPr>
        <sz val="10"/>
        <color rgb="FF000000"/>
        <rFont val="WenQuanYi Zen Hei"/>
        <family val="2"/>
      </rPr>
      <t xml:space="preserve">滞留リスクしきい値（設定</t>
    </r>
    <r>
      <rPr>
        <sz val="10"/>
        <color rgb="FF000000"/>
        <rFont val="Yu Gothic"/>
        <family val="0"/>
        <charset val="1"/>
      </rPr>
      <t xml:space="preserve">!C8</t>
    </r>
    <r>
      <rPr>
        <sz val="10"/>
        <color rgb="FF000000"/>
        <rFont val="WenQuanYi Zen Hei"/>
        <family val="2"/>
      </rPr>
      <t xml:space="preserve">）超 滞留在庫比率</t>
    </r>
  </si>
  <si>
    <r>
      <rPr>
        <sz val="10"/>
        <color rgb="FF000000"/>
        <rFont val="WenQuanYi Zen Hei"/>
        <family val="2"/>
      </rPr>
      <t xml:space="preserve">高流動性象限（</t>
    </r>
    <r>
      <rPr>
        <sz val="10"/>
        <color rgb="FF000000"/>
        <rFont val="Yu Gothic"/>
        <family val="0"/>
        <charset val="1"/>
      </rPr>
      <t xml:space="preserve">I+II</t>
    </r>
    <r>
      <rPr>
        <sz val="10"/>
        <color rgb="FF000000"/>
        <rFont val="WenQuanYi Zen Hei"/>
        <family val="2"/>
      </rPr>
      <t xml:space="preserve">）比率（時価ベース）</t>
    </r>
  </si>
  <si>
    <r>
      <rPr>
        <sz val="10"/>
        <color rgb="FF000000"/>
        <rFont val="WenQuanYi Zen Hei"/>
        <family val="2"/>
      </rPr>
      <t xml:space="preserve">低流動性象限（</t>
    </r>
    <r>
      <rPr>
        <sz val="10"/>
        <color rgb="FF000000"/>
        <rFont val="Yu Gothic"/>
        <family val="0"/>
        <charset val="1"/>
      </rPr>
      <t xml:space="preserve">III+IV</t>
    </r>
    <r>
      <rPr>
        <sz val="10"/>
        <color rgb="FF000000"/>
        <rFont val="WenQuanYi Zen Hei"/>
        <family val="2"/>
      </rPr>
      <t xml:space="preserve">）比率（時価ベース）</t>
    </r>
  </si>
  <si>
    <r>
      <rPr>
        <b val="true"/>
        <sz val="11"/>
        <color rgb="FF1F4E78"/>
        <rFont val="WenQuanYi Zen Hei"/>
        <family val="2"/>
      </rPr>
      <t xml:space="preserve">■ 集中リスク分析（</t>
    </r>
    <r>
      <rPr>
        <b val="true"/>
        <sz val="11"/>
        <color rgb="FF1F4E78"/>
        <rFont val="Yu Gothic"/>
        <family val="0"/>
        <charset val="1"/>
      </rPr>
      <t xml:space="preserve">HHI = Σ</t>
    </r>
    <r>
      <rPr>
        <b val="true"/>
        <sz val="11"/>
        <color rgb="FF1F4E78"/>
        <rFont val="WenQuanYi Zen Hei"/>
        <family val="2"/>
      </rPr>
      <t xml:space="preserve">構成比</t>
    </r>
    <r>
      <rPr>
        <b val="true"/>
        <sz val="11"/>
        <color rgb="FF1F4E78"/>
        <rFont val="Yu Gothic"/>
        <family val="0"/>
        <charset val="1"/>
      </rPr>
      <t xml:space="preserve">^2×10,000</t>
    </r>
    <r>
      <rPr>
        <b val="true"/>
        <sz val="11"/>
        <color rgb="FF1F4E78"/>
        <rFont val="WenQuanYi Zen Hei"/>
        <family val="2"/>
      </rPr>
      <t xml:space="preserve">。目安：</t>
    </r>
    <r>
      <rPr>
        <b val="true"/>
        <sz val="11"/>
        <color rgb="FF1F4E78"/>
        <rFont val="Yu Gothic"/>
        <family val="0"/>
        <charset val="1"/>
      </rPr>
      <t xml:space="preserve">1,500</t>
    </r>
    <r>
      <rPr>
        <b val="true"/>
        <sz val="11"/>
        <color rgb="FF1F4E78"/>
        <rFont val="WenQuanYi Zen Hei"/>
        <family val="2"/>
      </rPr>
      <t xml:space="preserve">未満</t>
    </r>
    <r>
      <rPr>
        <b val="true"/>
        <sz val="11"/>
        <color rgb="FF1F4E78"/>
        <rFont val="Yu Gothic"/>
        <family val="0"/>
        <charset val="1"/>
      </rPr>
      <t xml:space="preserve">=</t>
    </r>
    <r>
      <rPr>
        <b val="true"/>
        <sz val="11"/>
        <color rgb="FF1F4E78"/>
        <rFont val="WenQuanYi Zen Hei"/>
        <family val="2"/>
      </rPr>
      <t xml:space="preserve">分散／</t>
    </r>
    <r>
      <rPr>
        <b val="true"/>
        <sz val="11"/>
        <color rgb="FF1F4E78"/>
        <rFont val="Yu Gothic"/>
        <family val="0"/>
        <charset val="1"/>
      </rPr>
      <t xml:space="preserve">1,500</t>
    </r>
    <r>
      <rPr>
        <b val="true"/>
        <sz val="11"/>
        <color rgb="FF1F4E78"/>
        <rFont val="WenQuanYi Zen Hei"/>
        <family val="2"/>
      </rPr>
      <t xml:space="preserve">〜</t>
    </r>
    <r>
      <rPr>
        <b val="true"/>
        <sz val="11"/>
        <color rgb="FF1F4E78"/>
        <rFont val="Yu Gothic"/>
        <family val="0"/>
        <charset val="1"/>
      </rPr>
      <t xml:space="preserve">2,500=</t>
    </r>
    <r>
      <rPr>
        <b val="true"/>
        <sz val="11"/>
        <color rgb="FF1F4E78"/>
        <rFont val="WenQuanYi Zen Hei"/>
        <family val="2"/>
      </rPr>
      <t xml:space="preserve">中程度／</t>
    </r>
    <r>
      <rPr>
        <b val="true"/>
        <sz val="11"/>
        <color rgb="FF1F4E78"/>
        <rFont val="Yu Gothic"/>
        <family val="0"/>
        <charset val="1"/>
      </rPr>
      <t xml:space="preserve">2,500</t>
    </r>
    <r>
      <rPr>
        <b val="true"/>
        <sz val="11"/>
        <color rgb="FF1F4E78"/>
        <rFont val="WenQuanYi Zen Hei"/>
        <family val="2"/>
      </rPr>
      <t xml:space="preserve">以上</t>
    </r>
    <r>
      <rPr>
        <b val="true"/>
        <sz val="11"/>
        <color rgb="FF1F4E78"/>
        <rFont val="Yu Gothic"/>
        <family val="0"/>
        <charset val="1"/>
      </rPr>
      <t xml:space="preserve">=</t>
    </r>
    <r>
      <rPr>
        <b val="true"/>
        <sz val="11"/>
        <color rgb="FF1F4E78"/>
        <rFont val="WenQuanYi Zen Hei"/>
        <family val="2"/>
      </rPr>
      <t xml:space="preserve">集中リスク高）</t>
    </r>
  </si>
  <si>
    <t xml:space="preserve">時価（在庫中）</t>
  </si>
  <si>
    <t xml:space="preserve">構成比</t>
  </si>
  <si>
    <r>
      <rPr>
        <b val="true"/>
        <sz val="11"/>
        <color rgb="FFFFFFFF"/>
        <rFont val="Yu Gothic"/>
        <family val="0"/>
        <charset val="1"/>
      </rPr>
      <t xml:space="preserve">HHI</t>
    </r>
    <r>
      <rPr>
        <b val="true"/>
        <sz val="11"/>
        <color rgb="FFFFFFFF"/>
        <rFont val="WenQuanYi Zen Hei"/>
        <family val="2"/>
      </rPr>
      <t xml:space="preserve">寄与</t>
    </r>
  </si>
  <si>
    <r>
      <rPr>
        <b val="true"/>
        <sz val="10"/>
        <rFont val="WenQuanYi Zen Hei"/>
        <family val="2"/>
      </rPr>
      <t xml:space="preserve">合計 </t>
    </r>
    <r>
      <rPr>
        <b val="true"/>
        <sz val="10"/>
        <rFont val="Yu Gothic"/>
        <family val="0"/>
        <charset val="1"/>
      </rPr>
      <t xml:space="preserve">/ HHI</t>
    </r>
  </si>
  <si>
    <t xml:space="preserve">集中リスク判定</t>
  </si>
  <si>
    <t xml:space="preserve">その他（未登録キャラ／タグなし）</t>
  </si>
  <si>
    <t xml:space="preserve">その他（未登録／タグなし）</t>
  </si>
  <si>
    <r>
      <rPr>
        <b val="true"/>
        <sz val="16"/>
        <color rgb="FF1F4E78"/>
        <rFont val="WenQuanYi Zen Hei"/>
        <family val="2"/>
      </rPr>
      <t xml:space="preserve">スケジュール・タスク（</t>
    </r>
    <r>
      <rPr>
        <b val="true"/>
        <sz val="16"/>
        <color rgb="FF1F4E78"/>
        <rFont val="Yu Gothic"/>
        <family val="0"/>
        <charset val="1"/>
      </rPr>
      <t xml:space="preserve">8</t>
    </r>
    <r>
      <rPr>
        <b val="true"/>
        <sz val="16"/>
        <color rgb="FF1F4E78"/>
        <rFont val="WenQuanYi Zen Hei"/>
        <family val="2"/>
      </rPr>
      <t xml:space="preserve">月本格運用に向けて）</t>
    </r>
  </si>
  <si>
    <t xml:space="preserve">「やれることからやる」ではなく、データが取れる基盤（設定→ウォッチリスト→仕入れ計画→在庫管理→ダッシュボード）を先に作ることを優先する。</t>
  </si>
  <si>
    <t xml:space="preserve">フェーズ</t>
  </si>
  <si>
    <t xml:space="preserve">タスク</t>
  </si>
  <si>
    <t xml:space="preserve">開始日</t>
  </si>
  <si>
    <t xml:space="preserve">期限</t>
  </si>
  <si>
    <t xml:space="preserve">担当</t>
  </si>
  <si>
    <t xml:space="preserve">進捗率</t>
  </si>
  <si>
    <t xml:space="preserve">備考</t>
  </si>
  <si>
    <r>
      <rPr>
        <sz val="10"/>
        <color rgb="FF000000"/>
        <rFont val="Yu Gothic"/>
        <family val="0"/>
        <charset val="1"/>
      </rPr>
      <t xml:space="preserve">0. </t>
    </r>
    <r>
      <rPr>
        <sz val="10"/>
        <color rgb="FF000000"/>
        <rFont val="WenQuanYi Zen Hei"/>
        <family val="2"/>
      </rPr>
      <t xml:space="preserve">基盤準備</t>
    </r>
  </si>
  <si>
    <r>
      <rPr>
        <sz val="10"/>
        <color rgb="FF000000"/>
        <rFont val="WenQuanYi Zen Hei"/>
        <family val="2"/>
      </rPr>
      <t xml:space="preserve">設定シートでカテゴリ・レアリティ・</t>
    </r>
    <r>
      <rPr>
        <sz val="10"/>
        <color rgb="FF000000"/>
        <rFont val="Yu Gothic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象限しきい値を事業実態に合わせて確定する</t>
    </r>
  </si>
  <si>
    <t xml:space="preserve">未定</t>
  </si>
  <si>
    <t xml:space="preserve">未着手</t>
  </si>
  <si>
    <r>
      <rPr>
        <sz val="10"/>
        <color rgb="FF000000"/>
        <rFont val="WenQuanYi Zen Hei"/>
        <family val="2"/>
      </rPr>
      <t xml:space="preserve">実務タスク</t>
    </r>
    <r>
      <rPr>
        <sz val="10"/>
        <color rgb="FF000000"/>
        <rFont val="Yu Gothic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：基盤づくり</t>
    </r>
  </si>
  <si>
    <t xml:space="preserve">在庫管理シートの入力ルール（誰が・いつ登録するか）を決める</t>
  </si>
  <si>
    <r>
      <rPr>
        <sz val="10"/>
        <color rgb="FF000000"/>
        <rFont val="Yu Gothic"/>
        <family val="0"/>
        <charset val="1"/>
      </rPr>
      <t xml:space="preserve">1. </t>
    </r>
    <r>
      <rPr>
        <sz val="10"/>
        <color rgb="FF000000"/>
        <rFont val="WenQuanYi Zen Hei"/>
        <family val="2"/>
      </rPr>
      <t xml:space="preserve">ウォッチリスト分類</t>
    </r>
  </si>
  <si>
    <t xml:space="preserve">スニダンのウォッチリスト登録分を全件エクスポートする</t>
  </si>
  <si>
    <r>
      <rPr>
        <sz val="10"/>
        <color rgb="FF000000"/>
        <rFont val="WenQuanYi Zen Hei"/>
        <family val="2"/>
      </rPr>
      <t xml:space="preserve">実務タスク</t>
    </r>
    <r>
      <rPr>
        <sz val="10"/>
        <color rgb="FF000000"/>
        <rFont val="Yu Gothic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</si>
  <si>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ウォッチリストシートへ登録し、自動分類（</t>
    </r>
    <r>
      <rPr>
        <sz val="10"/>
        <color rgb="FF000000"/>
        <rFont val="Yu Gothic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象限）を確認する</t>
    </r>
  </si>
  <si>
    <t xml:space="preserve">象限別の候補数・偏りをレビューし、しきい値を再調整する</t>
  </si>
  <si>
    <r>
      <rPr>
        <sz val="10"/>
        <color rgb="FF000000"/>
        <rFont val="Yu Gothic"/>
        <family val="0"/>
        <charset val="1"/>
      </rPr>
      <t xml:space="preserve">2. </t>
    </r>
    <r>
      <rPr>
        <sz val="10"/>
        <color rgb="FF000000"/>
        <rFont val="WenQuanYi Zen Hei"/>
        <family val="2"/>
      </rPr>
      <t xml:space="preserve">仕入れ計画策定</t>
    </r>
  </si>
  <si>
    <t xml:space="preserve">象限別「何を・いくらまで・どの属性なら仕入れるか」を確定する</t>
  </si>
  <si>
    <r>
      <rPr>
        <sz val="10"/>
        <color rgb="FF000000"/>
        <rFont val="WenQuanYi Zen Hei"/>
        <family val="2"/>
      </rPr>
      <t xml:space="preserve">実務タスク</t>
    </r>
    <r>
      <rPr>
        <sz val="10"/>
        <color rgb="FF000000"/>
        <rFont val="Yu Gothic"/>
        <family val="0"/>
        <charset val="1"/>
      </rPr>
      <t xml:space="preserve">2</t>
    </r>
  </si>
  <si>
    <t xml:space="preserve">月間仕入れ予算の象限別配分比率を決定する</t>
  </si>
  <si>
    <t xml:space="preserve">仕入れ計画をチームに共有し、運用を開始する</t>
  </si>
  <si>
    <r>
      <rPr>
        <sz val="10"/>
        <color rgb="FF000000"/>
        <rFont val="Yu Gothic"/>
        <family val="0"/>
        <charset val="1"/>
      </rPr>
      <t xml:space="preserve">3. </t>
    </r>
    <r>
      <rPr>
        <sz val="10"/>
        <color rgb="FF000000"/>
        <rFont val="WenQuanYi Zen Hei"/>
        <family val="2"/>
      </rPr>
      <t xml:space="preserve">在庫管理運用開始</t>
    </r>
  </si>
  <si>
    <r>
      <rPr>
        <sz val="10"/>
        <color rgb="FF000000"/>
        <rFont val="WenQuanYi Zen Hei"/>
        <family val="2"/>
      </rPr>
      <t xml:space="preserve">既存在庫を</t>
    </r>
    <r>
      <rPr>
        <sz val="10"/>
        <color rgb="FF000000"/>
        <rFont val="Yu Gothic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分類＋タグ（キャラ／イラストレーター／絶版／周年／レアリティ）で棚卸し登録する</t>
    </r>
  </si>
  <si>
    <r>
      <rPr>
        <sz val="10"/>
        <color rgb="FF000000"/>
        <rFont val="WenQuanYi Zen Hei"/>
        <family val="2"/>
      </rPr>
      <t xml:space="preserve">実務タスク</t>
    </r>
    <r>
      <rPr>
        <sz val="10"/>
        <color rgb="FF000000"/>
        <rFont val="Yu Gothic"/>
        <family val="0"/>
        <charset val="1"/>
      </rPr>
      <t xml:space="preserve">3</t>
    </r>
  </si>
  <si>
    <r>
      <rPr>
        <sz val="10"/>
        <color rgb="FF000000"/>
        <rFont val="WenQuanYi Zen Hei"/>
        <family val="2"/>
      </rPr>
      <t xml:space="preserve">ポートフォリオ比率・集中リスク（</t>
    </r>
    <r>
      <rPr>
        <sz val="10"/>
        <color rgb="FF000000"/>
        <rFont val="Yu Gothic"/>
        <family val="0"/>
        <charset val="1"/>
      </rPr>
      <t xml:space="preserve">HHI</t>
    </r>
    <r>
      <rPr>
        <sz val="10"/>
        <color rgb="FF000000"/>
        <rFont val="WenQuanYi Zen Hei"/>
        <family val="2"/>
      </rPr>
      <t xml:space="preserve">）の初期値を確認する</t>
    </r>
  </si>
  <si>
    <t xml:space="preserve">在庫データの週次更新ルール（誰が・いつ更新するか）を決める</t>
  </si>
  <si>
    <r>
      <rPr>
        <sz val="10"/>
        <color rgb="FF000000"/>
        <rFont val="Yu Gothic"/>
        <family val="0"/>
        <charset val="1"/>
      </rPr>
      <t xml:space="preserve">4. </t>
    </r>
    <r>
      <rPr>
        <sz val="10"/>
        <color rgb="FF000000"/>
        <rFont val="WenQuanYi Zen Hei"/>
        <family val="2"/>
      </rPr>
      <t xml:space="preserve">ダッシュボード運用</t>
    </r>
  </si>
  <si>
    <r>
      <rPr>
        <sz val="10"/>
        <color rgb="FF000000"/>
        <rFont val="WenQuanYi Zen Hei"/>
        <family val="2"/>
      </rPr>
      <t xml:space="preserve">資本効率（</t>
    </r>
    <r>
      <rPr>
        <sz val="10"/>
        <color rgb="FF000000"/>
        <rFont val="Yu Gothic"/>
        <family val="0"/>
        <charset val="1"/>
      </rPr>
      <t xml:space="preserve">GMROI</t>
    </r>
    <r>
      <rPr>
        <sz val="10"/>
        <color rgb="FF000000"/>
        <rFont val="WenQuanYi Zen Hei"/>
        <family val="2"/>
      </rPr>
      <t xml:space="preserve">・回転率・</t>
    </r>
    <r>
      <rPr>
        <sz val="10"/>
        <color rgb="FF000000"/>
        <rFont val="Yu Gothic"/>
        <family val="0"/>
        <charset val="1"/>
      </rPr>
      <t xml:space="preserve">ROI</t>
    </r>
    <r>
      <rPr>
        <sz val="10"/>
        <color rgb="FF000000"/>
        <rFont val="WenQuanYi Zen Hei"/>
        <family val="2"/>
      </rPr>
      <t xml:space="preserve">）と実行流動性指標の初期値を算出する</t>
    </r>
  </si>
  <si>
    <r>
      <rPr>
        <sz val="10"/>
        <color rgb="FF000000"/>
        <rFont val="WenQuanYi Zen Hei"/>
        <family val="2"/>
      </rPr>
      <t xml:space="preserve">実務タスク</t>
    </r>
    <r>
      <rPr>
        <sz val="10"/>
        <color rgb="FF000000"/>
        <rFont val="Yu Gothic"/>
        <family val="0"/>
        <charset val="1"/>
      </rPr>
      <t xml:space="preserve">4</t>
    </r>
  </si>
  <si>
    <r>
      <rPr>
        <sz val="10"/>
        <color rgb="FF000000"/>
        <rFont val="WenQuanYi Zen Hei"/>
        <family val="2"/>
      </rPr>
      <t xml:space="preserve">週次レビュー</t>
    </r>
    <r>
      <rPr>
        <sz val="10"/>
        <color rgb="FF000000"/>
        <rFont val="Yu Gothic"/>
        <family val="0"/>
        <charset val="1"/>
      </rPr>
      <t xml:space="preserve">MTG</t>
    </r>
    <r>
      <rPr>
        <sz val="10"/>
        <color rgb="FF000000"/>
        <rFont val="WenQuanYi Zen Hei"/>
        <family val="2"/>
      </rPr>
      <t xml:space="preserve">にダッシュボードを組み込む</t>
    </r>
  </si>
  <si>
    <r>
      <rPr>
        <sz val="10"/>
        <color rgb="FF000000"/>
        <rFont val="Yu Gothic"/>
        <family val="0"/>
        <charset val="1"/>
      </rPr>
      <t xml:space="preserve">5. </t>
    </r>
    <r>
      <rPr>
        <sz val="10"/>
        <color rgb="FF000000"/>
        <rFont val="WenQuanYi Zen Hei"/>
        <family val="2"/>
      </rPr>
      <t xml:space="preserve">継続運用</t>
    </r>
  </si>
  <si>
    <t xml:space="preserve">週次でウォッチリスト→仕入れ計画→在庫管理→ダッシュボードのサイクルを回す</t>
  </si>
  <si>
    <t xml:space="preserve">継続</t>
  </si>
  <si>
    <r>
      <rPr>
        <sz val="10"/>
        <color rgb="FF000000"/>
        <rFont val="WenQuanYi Zen Hei"/>
        <family val="2"/>
      </rPr>
      <t xml:space="preserve">実務タスク</t>
    </r>
    <r>
      <rPr>
        <sz val="10"/>
        <color rgb="FF000000"/>
        <rFont val="Yu Gothic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：本格運用</t>
    </r>
  </si>
  <si>
    <r>
      <rPr>
        <sz val="10"/>
        <color rgb="FF000000"/>
        <rFont val="WenQuanYi Zen Hei"/>
        <family val="2"/>
      </rPr>
      <t xml:space="preserve">月次で</t>
    </r>
    <r>
      <rPr>
        <sz val="10"/>
        <color rgb="FF000000"/>
        <rFont val="Yu Gothic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象限しきい値・カテゴリ／タグ体系を見直す</t>
    </r>
  </si>
  <si>
    <t xml:space="preserve">担当（オレンジ）は要アサイン。ステータス・進捗率（黄）は運用しながら更新してください。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</si>
</sst>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\日"/>
    <numFmt numFmtId="166" formatCode="0.0%;[RED]\-0.0%;\-"/>
    <numFmt numFmtId="167" formatCode="#,##0;[RED]\-#,##0;\-"/>
    <numFmt numFmtId="168" formatCode="\¥#,##0;[RED]&quot;-¥&quot;#,##0;\-"/>
    <numFmt numFmtId="169" formatCode="yyyy/mm/dd"/>
    <numFmt numFmtId="170" formatCode="0.00\x"/>
    <numFmt numFmtId="171" formatCode="0.0\日"/>
    <numFmt numFmtId="172" formatCode="0.00"/>
    <numFmt numFmtId="173" formatCode="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WenQuanYi Zen Hei"/>
      <family val="2"/>
    </font>
    <font>
      <i val="true"/>
      <sz val="9"/>
      <color rgb="FF666666"/>
      <name val="WenQuanYi Zen Hei"/>
      <family val="2"/>
    </font>
    <font>
      <i val="true"/>
      <sz val="9"/>
      <color rgb="FF666666"/>
      <name val="Yu Gothic"/>
      <family val="0"/>
      <charset val="1"/>
    </font>
    <font>
      <b val="true"/>
      <sz val="11"/>
      <color rgb="FF1F4E78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Yu Gothic"/>
      <family val="0"/>
      <charset val="1"/>
    </font>
    <font>
      <b val="true"/>
      <sz val="11"/>
      <color rgb="FF1F4E78"/>
      <name val="Yu Gothic"/>
      <family val="0"/>
      <charset val="1"/>
    </font>
    <font>
      <sz val="10"/>
      <color rgb="FF0000FF"/>
      <name val="Yu Gothic"/>
      <family val="0"/>
      <charset val="1"/>
    </font>
    <font>
      <b val="true"/>
      <sz val="11"/>
      <color rgb="FFFFFFFF"/>
      <name val="WenQuanYi Zen Hei"/>
      <family val="2"/>
    </font>
    <font>
      <sz val="10"/>
      <color rgb="FF0000FF"/>
      <name val="WenQuanYi Zen Hei"/>
      <family val="2"/>
    </font>
    <font>
      <b val="true"/>
      <sz val="16"/>
      <color rgb="FF1F4E78"/>
      <name val="Yu Gothic"/>
      <family val="0"/>
      <charset val="1"/>
    </font>
    <font>
      <b val="true"/>
      <sz val="11"/>
      <color rgb="FFFFFFFF"/>
      <name val="Yu Gothic"/>
      <family val="0"/>
      <charset val="1"/>
    </font>
    <font>
      <b val="true"/>
      <sz val="10"/>
      <name val="WenQuanYi Zen Hei"/>
      <family val="2"/>
    </font>
    <font>
      <b val="true"/>
      <sz val="10"/>
      <name val="Yu Gothic"/>
      <family val="0"/>
      <charset val="1"/>
    </font>
    <font>
      <sz val="10"/>
      <color rgb="FF008000"/>
      <name val="Yu Gothic"/>
      <family val="0"/>
      <charset val="1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0"/>
      <color rgb="FF000000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1F4E78"/>
        <bgColor rgb="FF00336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color rgb="FF9C0006"/>
      </font>
      <fill>
        <patternFill>
          <bgColor rgb="FFFFC7CE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7030A0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CE4D6"/>
      <rgbColor rgb="FF99CCFF"/>
      <rgbColor rgb="FFFF99CC"/>
      <rgbColor rgb="FFCC99FF"/>
      <rgbColor rgb="FFFFC7CE"/>
      <rgbColor rgb="FF2E75B6"/>
      <rgbColor rgb="FF4BACC6"/>
      <rgbColor rgb="FF9BBB59"/>
      <rgbColor rgb="FFFFCC00"/>
      <rgbColor rgb="FFF79646"/>
      <rgbColor rgb="FFBF8F00"/>
      <rgbColor rgb="FF8064A2"/>
      <rgbColor rgb="FF878787"/>
      <rgbColor rgb="FF003366"/>
      <rgbColor rgb="FF4F81BD"/>
      <rgbColor rgb="FF003300"/>
      <rgbColor rgb="FF333300"/>
      <rgbColor rgb="FF993300"/>
      <rgbColor rgb="FFC0504D"/>
      <rgbColor rgb="FF1F4E78"/>
      <rgbColor rgb="FF66666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ポートフォリオ構成（カテゴリ別・時価）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ダッシュボード!C22</c:f>
              <c:strCache>
                <c:ptCount val="1"/>
                <c:pt idx="0">
                  <c:v>時価（在庫中）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0">
                <a:noFill/>
              </a:ln>
            </c:spPr>
          </c:dPt>
          <c:dPt>
            <c:idx val="5"/>
            <c:spPr>
              <a:solidFill>
                <a:srgbClr val="f79646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ダッシュボード!$B$23:$B$28</c:f>
              <c:strCache>
                <c:ptCount val="6"/>
                <c:pt idx="0">
                  <c:v>フィギュア</c:v>
                </c:pt>
                <c:pt idx="1">
                  <c:v>トレーディングカード</c:v>
                </c:pt>
                <c:pt idx="2">
                  <c:v>スニーカー</c:v>
                </c:pt>
                <c:pt idx="3">
                  <c:v>アパレル</c:v>
                </c:pt>
                <c:pt idx="4">
                  <c:v>アートトイ・グッズ</c:v>
                </c:pt>
                <c:pt idx="5">
                  <c:v>その他</c:v>
                </c:pt>
              </c:strCache>
            </c:strRef>
          </c:cat>
          <c:val>
            <c:numRef>
              <c:f>ダッシュボード!$C$23:$C$28</c:f>
              <c:numCache>
                <c:formatCode>\¥#,##0;[RED]"-¥"#,##0;\-</c:formatCode>
                <c:ptCount val="6"/>
                <c:pt idx="0">
                  <c:v>31000</c:v>
                </c:pt>
                <c:pt idx="1">
                  <c:v>49000</c:v>
                </c:pt>
                <c:pt idx="2">
                  <c:v>31500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象限別 時価（在庫中）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ダッシュボード!H22</c:f>
              <c:strCache>
                <c:ptCount val="1"/>
                <c:pt idx="0">
                  <c:v>時価（在庫中）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ダッシュボード!$G$23:$G$26</c:f>
              <c:strCache>
                <c:ptCount val="4"/>
                <c:pt idx="0">
                  <c:v>I(コア)</c:v>
                </c:pt>
                <c:pt idx="1">
                  <c:v>II(回転)</c:v>
                </c:pt>
                <c:pt idx="2">
                  <c:v>III(厳選)</c:v>
                </c:pt>
                <c:pt idx="3">
                  <c:v>IV(見送り)</c:v>
                </c:pt>
              </c:strCache>
            </c:strRef>
          </c:cat>
          <c:val>
            <c:numRef>
              <c:f>ダッシュボード!$H$23:$H$26</c:f>
              <c:numCache>
                <c:formatCode>\¥#,##0;[RED]"-¥"#,##0;\-</c:formatCode>
                <c:ptCount val="4"/>
                <c:pt idx="0">
                  <c:v>31000</c:v>
                </c:pt>
                <c:pt idx="1">
                  <c:v>31500</c:v>
                </c:pt>
                <c:pt idx="2">
                  <c:v>49000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39730681"/>
        <c:axId val="44184385"/>
      </c:barChart>
      <c:catAx>
        <c:axId val="397306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184385"/>
        <c:crosses val="autoZero"/>
        <c:auto val="1"/>
        <c:lblAlgn val="ctr"/>
        <c:lblOffset val="100"/>
        <c:noMultiLvlLbl val="0"/>
      </c:catAx>
      <c:valAx>
        <c:axId val="441843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時価（円）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¥#,##0;[RED]&quot;-¥&quot;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73068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3</xdr:row>
      <xdr:rowOff>131040</xdr:rowOff>
    </xdr:from>
    <xdr:to>
      <xdr:col>18</xdr:col>
      <xdr:colOff>486720</xdr:colOff>
      <xdr:row>18</xdr:row>
      <xdr:rowOff>153000</xdr:rowOff>
    </xdr:to>
    <xdr:graphicFrame>
      <xdr:nvGraphicFramePr>
        <xdr:cNvPr id="0" name="Chart 1"/>
        <xdr:cNvGraphicFramePr/>
      </xdr:nvGraphicFramePr>
      <xdr:xfrm>
        <a:off x="14312880" y="76212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20</xdr:row>
      <xdr:rowOff>131040</xdr:rowOff>
    </xdr:from>
    <xdr:to>
      <xdr:col>18</xdr:col>
      <xdr:colOff>486720</xdr:colOff>
      <xdr:row>35</xdr:row>
      <xdr:rowOff>153000</xdr:rowOff>
    </xdr:to>
    <xdr:graphicFrame>
      <xdr:nvGraphicFramePr>
        <xdr:cNvPr id="1" name="Chart 2"/>
        <xdr:cNvGraphicFramePr/>
      </xdr:nvGraphicFramePr>
      <xdr:xfrm>
        <a:off x="14312880" y="400068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true"/>
  </sheetPr>
  <dimension ref="B2:B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2" customFormat="false" ht="24" hidden="false" customHeight="tru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26.85" hidden="false" customHeight="false" outlineLevel="0" collapsed="false">
      <c r="B6" s="4" t="s">
        <v>3</v>
      </c>
    </row>
    <row r="7" customFormat="false" ht="26.85" hidden="false" customHeight="false" outlineLevel="0" collapsed="false">
      <c r="B7" s="4" t="s">
        <v>4</v>
      </c>
    </row>
    <row r="8" customFormat="false" ht="15" hidden="false" customHeight="false" outlineLevel="0" collapsed="false">
      <c r="B8" s="4" t="s">
        <v>5</v>
      </c>
    </row>
    <row r="9" customFormat="false" ht="26.85" hidden="false" customHeight="false" outlineLevel="0" collapsed="false">
      <c r="B9" s="4" t="s">
        <v>6</v>
      </c>
    </row>
    <row r="10" customFormat="false" ht="26.85" hidden="false" customHeight="false" outlineLevel="0" collapsed="false">
      <c r="B10" s="4" t="s">
        <v>7</v>
      </c>
    </row>
    <row r="11" customFormat="false" ht="15" hidden="false" customHeight="false" outlineLevel="0" collapsed="false">
      <c r="B11" s="4" t="s">
        <v>8</v>
      </c>
    </row>
    <row r="12" customFormat="false" ht="15" hidden="false" customHeight="false" outlineLevel="0" collapsed="false">
      <c r="B12" s="3" t="s">
        <v>9</v>
      </c>
    </row>
    <row r="13" customFormat="false" ht="1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 t="s">
        <v>11</v>
      </c>
    </row>
    <row r="15" customFormat="false" ht="15" hidden="false" customHeight="false" outlineLevel="0" collapsed="false">
      <c r="B15" s="4" t="s">
        <v>12</v>
      </c>
    </row>
    <row r="16" customFormat="false" ht="15" hidden="false" customHeight="false" outlineLevel="0" collapsed="false">
      <c r="B16" s="4" t="s">
        <v>13</v>
      </c>
    </row>
    <row r="17" customFormat="false" ht="15" hidden="false" customHeight="false" outlineLevel="0" collapsed="false">
      <c r="B17" s="4" t="s">
        <v>14</v>
      </c>
    </row>
    <row r="18" customFormat="false" ht="15" hidden="false" customHeight="false" outlineLevel="0" collapsed="false">
      <c r="B18" s="3" t="s">
        <v>15</v>
      </c>
    </row>
    <row r="19" customFormat="false" ht="15" hidden="false" customHeight="false" outlineLevel="0" collapsed="false">
      <c r="B19" s="4" t="s">
        <v>16</v>
      </c>
    </row>
    <row r="20" customFormat="false" ht="15" hidden="false" customHeight="false" outlineLevel="0" collapsed="false">
      <c r="B20" s="4" t="s">
        <v>17</v>
      </c>
    </row>
    <row r="21" customFormat="false" ht="15" hidden="false" customHeight="false" outlineLevel="0" collapsed="false">
      <c r="B21" s="4" t="s">
        <v>18</v>
      </c>
    </row>
    <row r="22" customFormat="false" ht="15" hidden="false" customHeight="false" outlineLevel="0" collapsed="false">
      <c r="B22" s="4" t="s">
        <v>19</v>
      </c>
    </row>
    <row r="23" customFormat="false" ht="15" hidden="false" customHeight="false" outlineLevel="0" collapsed="false">
      <c r="B23" s="4" t="s">
        <v>20</v>
      </c>
    </row>
    <row r="24" customFormat="false" ht="15" hidden="false" customHeight="false" outlineLevel="0" collapsed="false">
      <c r="B24" s="3" t="s">
        <v>21</v>
      </c>
    </row>
    <row r="25" customFormat="false" ht="15" hidden="false" customHeight="false" outlineLevel="0" collapsed="false">
      <c r="B25" s="4" t="s">
        <v>22</v>
      </c>
    </row>
    <row r="26" customFormat="false" ht="26.85" hidden="false" customHeight="false" outlineLevel="0" collapsed="false">
      <c r="B26" s="4" t="s">
        <v>23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true"/>
  </sheetPr>
  <dimension ref="B2:E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4" min="3" style="0" width="16"/>
    <col collapsed="false" customWidth="true" hidden="false" outlineLevel="0" max="5" min="5" style="0" width="40"/>
  </cols>
  <sheetData>
    <row r="2" customFormat="false" ht="19.7" hidden="false" customHeight="false" outlineLevel="0" collapsed="false">
      <c r="B2" s="1" t="s">
        <v>24</v>
      </c>
    </row>
    <row r="3" customFormat="false" ht="15" hidden="false" customHeight="false" outlineLevel="0" collapsed="false">
      <c r="B3" s="5" t="s">
        <v>25</v>
      </c>
    </row>
    <row r="5" customFormat="false" ht="15" hidden="false" customHeight="false" outlineLevel="0" collapsed="false">
      <c r="B5" s="6" t="s">
        <v>26</v>
      </c>
    </row>
    <row r="6" customFormat="false" ht="15" hidden="false" customHeight="false" outlineLevel="0" collapsed="false">
      <c r="B6" s="7" t="s">
        <v>27</v>
      </c>
      <c r="C6" s="8" t="n">
        <v>30</v>
      </c>
    </row>
    <row r="7" customFormat="false" ht="15" hidden="false" customHeight="false" outlineLevel="0" collapsed="false">
      <c r="B7" s="7" t="s">
        <v>28</v>
      </c>
      <c r="C7" s="9" t="n">
        <v>0.2</v>
      </c>
    </row>
    <row r="8" customFormat="false" ht="15" hidden="false" customHeight="false" outlineLevel="0" collapsed="false">
      <c r="B8" s="7" t="s">
        <v>29</v>
      </c>
      <c r="C8" s="8" t="n">
        <v>90</v>
      </c>
    </row>
    <row r="9" customFormat="false" ht="15" hidden="false" customHeight="false" outlineLevel="0" collapsed="false">
      <c r="B9" s="6" t="s">
        <v>30</v>
      </c>
    </row>
    <row r="10" customFormat="false" ht="15" hidden="false" customHeight="false" outlineLevel="0" collapsed="false">
      <c r="B10" s="10" t="s">
        <v>31</v>
      </c>
      <c r="C10" s="10" t="s">
        <v>32</v>
      </c>
      <c r="D10" s="10" t="s">
        <v>33</v>
      </c>
      <c r="E10" s="10" t="s">
        <v>34</v>
      </c>
    </row>
    <row r="11" customFormat="false" ht="15" hidden="false" customHeight="false" outlineLevel="0" collapsed="false">
      <c r="B11" s="11" t="s">
        <v>35</v>
      </c>
      <c r="C11" s="12" t="s">
        <v>36</v>
      </c>
      <c r="D11" s="12" t="s">
        <v>37</v>
      </c>
      <c r="E11" s="12" t="s">
        <v>38</v>
      </c>
    </row>
    <row r="12" customFormat="false" ht="15" hidden="false" customHeight="false" outlineLevel="0" collapsed="false">
      <c r="B12" s="11" t="s">
        <v>39</v>
      </c>
      <c r="C12" s="12" t="s">
        <v>36</v>
      </c>
      <c r="D12" s="12" t="s">
        <v>40</v>
      </c>
      <c r="E12" s="12" t="s">
        <v>41</v>
      </c>
    </row>
    <row r="13" customFormat="false" ht="15" hidden="false" customHeight="false" outlineLevel="0" collapsed="false">
      <c r="B13" s="11" t="s">
        <v>42</v>
      </c>
      <c r="C13" s="12" t="s">
        <v>43</v>
      </c>
      <c r="D13" s="12" t="s">
        <v>37</v>
      </c>
      <c r="E13" s="12" t="s">
        <v>44</v>
      </c>
    </row>
    <row r="14" customFormat="false" ht="15" hidden="false" customHeight="false" outlineLevel="0" collapsed="false">
      <c r="B14" s="11" t="s">
        <v>45</v>
      </c>
      <c r="C14" s="12" t="s">
        <v>43</v>
      </c>
      <c r="D14" s="12" t="s">
        <v>40</v>
      </c>
      <c r="E14" s="12" t="s">
        <v>46</v>
      </c>
    </row>
    <row r="16" customFormat="false" ht="15" hidden="false" customHeight="false" outlineLevel="0" collapsed="false">
      <c r="B16" s="3" t="s">
        <v>47</v>
      </c>
    </row>
    <row r="17" customFormat="false" ht="15" hidden="false" customHeight="false" outlineLevel="0" collapsed="false">
      <c r="B17" s="10" t="s">
        <v>48</v>
      </c>
    </row>
    <row r="18" customFormat="false" ht="15" hidden="false" customHeight="false" outlineLevel="0" collapsed="false">
      <c r="B18" s="13" t="s">
        <v>49</v>
      </c>
    </row>
    <row r="19" customFormat="false" ht="15" hidden="false" customHeight="false" outlineLevel="0" collapsed="false">
      <c r="B19" s="13" t="s">
        <v>50</v>
      </c>
    </row>
    <row r="20" customFormat="false" ht="15" hidden="false" customHeight="false" outlineLevel="0" collapsed="false">
      <c r="B20" s="13" t="s">
        <v>51</v>
      </c>
    </row>
    <row r="21" customFormat="false" ht="15" hidden="false" customHeight="false" outlineLevel="0" collapsed="false">
      <c r="B21" s="13" t="s">
        <v>52</v>
      </c>
    </row>
    <row r="22" customFormat="false" ht="15" hidden="false" customHeight="false" outlineLevel="0" collapsed="false">
      <c r="B22" s="13" t="s">
        <v>53</v>
      </c>
    </row>
    <row r="23" customFormat="false" ht="15" hidden="false" customHeight="false" outlineLevel="0" collapsed="false">
      <c r="B23" s="13" t="s">
        <v>54</v>
      </c>
    </row>
    <row r="25" customFormat="false" ht="15" hidden="false" customHeight="false" outlineLevel="0" collapsed="false">
      <c r="B25" s="3" t="s">
        <v>55</v>
      </c>
    </row>
    <row r="26" customFormat="false" ht="15" hidden="false" customHeight="false" outlineLevel="0" collapsed="false">
      <c r="B26" s="10" t="s">
        <v>56</v>
      </c>
    </row>
    <row r="27" customFormat="false" ht="15" hidden="false" customHeight="false" outlineLevel="0" collapsed="false">
      <c r="B27" s="14" t="s">
        <v>57</v>
      </c>
    </row>
    <row r="28" customFormat="false" ht="15" hidden="false" customHeight="false" outlineLevel="0" collapsed="false">
      <c r="B28" s="14" t="s">
        <v>58</v>
      </c>
    </row>
    <row r="29" customFormat="false" ht="15" hidden="false" customHeight="false" outlineLevel="0" collapsed="false">
      <c r="B29" s="14" t="s">
        <v>59</v>
      </c>
    </row>
    <row r="30" customFormat="false" ht="15" hidden="false" customHeight="false" outlineLevel="0" collapsed="false">
      <c r="B30" s="14" t="s">
        <v>60</v>
      </c>
    </row>
    <row r="31" customFormat="false" ht="15" hidden="false" customHeight="false" outlineLevel="0" collapsed="false">
      <c r="B31" s="14" t="s">
        <v>61</v>
      </c>
    </row>
    <row r="33" customFormat="false" ht="15" hidden="false" customHeight="false" outlineLevel="0" collapsed="false">
      <c r="B33" s="3" t="s">
        <v>62</v>
      </c>
    </row>
    <row r="34" customFormat="false" ht="15" hidden="false" customHeight="false" outlineLevel="0" collapsed="false">
      <c r="B34" s="10" t="s">
        <v>63</v>
      </c>
    </row>
    <row r="35" customFormat="false" ht="15" hidden="false" customHeight="false" outlineLevel="0" collapsed="false">
      <c r="B35" s="13" t="s">
        <v>64</v>
      </c>
    </row>
    <row r="36" customFormat="false" ht="15" hidden="false" customHeight="false" outlineLevel="0" collapsed="false">
      <c r="B36" s="13" t="s">
        <v>65</v>
      </c>
    </row>
    <row r="37" customFormat="false" ht="15" hidden="false" customHeight="false" outlineLevel="0" collapsed="false">
      <c r="B37" s="13" t="s">
        <v>66</v>
      </c>
    </row>
    <row r="39" customFormat="false" ht="15" hidden="false" customHeight="false" outlineLevel="0" collapsed="false">
      <c r="B39" s="3" t="s">
        <v>67</v>
      </c>
    </row>
    <row r="40" customFormat="false" ht="15" hidden="false" customHeight="false" outlineLevel="0" collapsed="false">
      <c r="B40" s="10" t="s">
        <v>68</v>
      </c>
    </row>
    <row r="41" customFormat="false" ht="15" hidden="false" customHeight="false" outlineLevel="0" collapsed="false">
      <c r="B41" s="13" t="s">
        <v>69</v>
      </c>
    </row>
    <row r="42" customFormat="false" ht="15" hidden="false" customHeight="false" outlineLevel="0" collapsed="false">
      <c r="B42" s="13" t="s">
        <v>70</v>
      </c>
    </row>
    <row r="43" customFormat="false" ht="15" hidden="false" customHeight="false" outlineLevel="0" collapsed="false">
      <c r="B43" s="13" t="s">
        <v>71</v>
      </c>
    </row>
    <row r="44" customFormat="false" ht="15" hidden="false" customHeight="false" outlineLevel="0" collapsed="false">
      <c r="B44" s="14"/>
    </row>
    <row r="45" customFormat="false" ht="15" hidden="false" customHeight="false" outlineLevel="0" collapsed="false">
      <c r="B45" s="14"/>
    </row>
    <row r="46" customFormat="false" ht="15" hidden="false" customHeight="false" outlineLevel="0" collapsed="false">
      <c r="B46" s="14"/>
    </row>
    <row r="47" customFormat="false" ht="15" hidden="false" customHeight="false" outlineLevel="0" collapsed="false">
      <c r="B47" s="14"/>
    </row>
    <row r="48" customFormat="false" ht="15" hidden="false" customHeight="false" outlineLevel="0" collapsed="false">
      <c r="B48" s="14"/>
    </row>
    <row r="49" customFormat="false" ht="15" hidden="false" customHeight="false" outlineLevel="0" collapsed="false">
      <c r="B49" s="14"/>
    </row>
    <row r="50" customFormat="false" ht="15" hidden="false" customHeight="false" outlineLevel="0" collapsed="false">
      <c r="B50" s="14"/>
    </row>
    <row r="51" customFormat="false" ht="15" hidden="false" customHeight="false" outlineLevel="0" collapsed="false">
      <c r="B51" s="14"/>
    </row>
    <row r="52" customFormat="false" ht="15" hidden="false" customHeight="false" outlineLevel="0" collapsed="false">
      <c r="B52" s="14"/>
    </row>
    <row r="53" customFormat="false" ht="15" hidden="false" customHeight="false" outlineLevel="0" collapsed="false">
      <c r="B53" s="14"/>
    </row>
    <row r="54" customFormat="false" ht="15" hidden="false" customHeight="false" outlineLevel="0" collapsed="false">
      <c r="B54" s="14"/>
    </row>
    <row r="55" customFormat="false" ht="15" hidden="false" customHeight="false" outlineLevel="0" collapsed="false">
      <c r="B55" s="14"/>
    </row>
    <row r="56" customFormat="false" ht="15" hidden="false" customHeight="false" outlineLevel="0" collapsed="false">
      <c r="B56" s="14"/>
    </row>
    <row r="57" customFormat="false" ht="15" hidden="false" customHeight="false" outlineLevel="0" collapsed="false">
      <c r="B57" s="14"/>
    </row>
    <row r="58" customFormat="false" ht="15" hidden="false" customHeight="false" outlineLevel="0" collapsed="false">
      <c r="B58" s="14"/>
    </row>
    <row r="59" customFormat="false" ht="15" hidden="false" customHeight="false" outlineLevel="0" collapsed="false">
      <c r="B59" s="14"/>
    </row>
    <row r="60" customFormat="false" ht="15" hidden="false" customHeight="false" outlineLevel="0" collapsed="false">
      <c r="B60" s="14"/>
    </row>
    <row r="62" customFormat="false" ht="15" hidden="false" customHeight="false" outlineLevel="0" collapsed="false">
      <c r="B62" s="3" t="s">
        <v>72</v>
      </c>
    </row>
    <row r="63" customFormat="false" ht="15" hidden="false" customHeight="false" outlineLevel="0" collapsed="false">
      <c r="B63" s="10" t="s">
        <v>73</v>
      </c>
    </row>
    <row r="64" customFormat="false" ht="15" hidden="false" customHeight="false" outlineLevel="0" collapsed="false">
      <c r="B64" s="13" t="s">
        <v>74</v>
      </c>
    </row>
    <row r="65" customFormat="false" ht="15" hidden="false" customHeight="false" outlineLevel="0" collapsed="false">
      <c r="B65" s="13" t="s">
        <v>75</v>
      </c>
    </row>
    <row r="66" customFormat="false" ht="15" hidden="false" customHeight="false" outlineLevel="0" collapsed="false">
      <c r="B66" s="14"/>
    </row>
    <row r="67" customFormat="false" ht="15" hidden="false" customHeight="false" outlineLevel="0" collapsed="false">
      <c r="B67" s="14"/>
    </row>
    <row r="68" customFormat="false" ht="15" hidden="false" customHeight="false" outlineLevel="0" collapsed="false">
      <c r="B68" s="14"/>
    </row>
    <row r="69" customFormat="false" ht="15" hidden="false" customHeight="false" outlineLevel="0" collapsed="false">
      <c r="B69" s="14"/>
    </row>
    <row r="70" customFormat="false" ht="15" hidden="false" customHeight="false" outlineLevel="0" collapsed="false">
      <c r="B70" s="14"/>
    </row>
    <row r="71" customFormat="false" ht="15" hidden="false" customHeight="false" outlineLevel="0" collapsed="false">
      <c r="B71" s="14"/>
    </row>
    <row r="72" customFormat="false" ht="15" hidden="false" customHeight="false" outlineLevel="0" collapsed="false">
      <c r="B72" s="14"/>
    </row>
    <row r="73" customFormat="false" ht="15" hidden="false" customHeight="false" outlineLevel="0" collapsed="false">
      <c r="B73" s="14"/>
    </row>
    <row r="74" customFormat="false" ht="15" hidden="false" customHeight="false" outlineLevel="0" collapsed="false">
      <c r="B74" s="14"/>
    </row>
    <row r="75" customFormat="false" ht="15" hidden="false" customHeight="false" outlineLevel="0" collapsed="false">
      <c r="B75" s="14"/>
    </row>
    <row r="76" customFormat="false" ht="15" hidden="false" customHeight="false" outlineLevel="0" collapsed="false">
      <c r="B76" s="14"/>
    </row>
    <row r="77" customFormat="false" ht="15" hidden="false" customHeight="false" outlineLevel="0" collapsed="false">
      <c r="B77" s="14"/>
    </row>
    <row r="78" customFormat="false" ht="15" hidden="false" customHeight="false" outlineLevel="0" collapsed="false">
      <c r="B78" s="14"/>
    </row>
    <row r="79" customFormat="false" ht="15" hidden="false" customHeight="false" outlineLevel="0" collapsed="false">
      <c r="B79" s="14"/>
    </row>
    <row r="80" customFormat="false" ht="15" hidden="false" customHeight="false" outlineLevel="0" collapsed="false">
      <c r="B80" s="14"/>
    </row>
    <row r="81" customFormat="false" ht="15" hidden="false" customHeight="false" outlineLevel="0" collapsed="false">
      <c r="B81" s="14"/>
    </row>
    <row r="82" customFormat="false" ht="15" hidden="false" customHeight="false" outlineLevel="0" collapsed="false">
      <c r="B82" s="14"/>
    </row>
    <row r="83" customFormat="false" ht="15" hidden="false" customHeight="false" outlineLevel="0" collapsed="false">
      <c r="B83" s="14"/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2:L1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10" min="7" style="0" width="12"/>
    <col collapsed="false" customWidth="true" hidden="false" outlineLevel="0" max="11" min="11" style="0" width="16"/>
    <col collapsed="false" customWidth="true" hidden="false" outlineLevel="0" max="12" min="12" style="0" width="24"/>
  </cols>
  <sheetData>
    <row r="2" customFormat="false" ht="20.85" hidden="false" customHeight="false" outlineLevel="0" collapsed="false">
      <c r="B2" s="1" t="s">
        <v>76</v>
      </c>
    </row>
    <row r="3" customFormat="false" ht="15" hidden="false" customHeight="false" outlineLevel="0" collapsed="false">
      <c r="B3" s="2" t="s">
        <v>77</v>
      </c>
    </row>
    <row r="5" customFormat="false" ht="15" hidden="false" customHeight="false" outlineLevel="0" collapsed="false">
      <c r="B5" s="3" t="s">
        <v>78</v>
      </c>
    </row>
    <row r="6" customFormat="false" ht="15" hidden="false" customHeight="false" outlineLevel="0" collapsed="false">
      <c r="B6" s="15" t="s">
        <v>79</v>
      </c>
      <c r="C6" s="16" t="n">
        <f aca="false">COUNTIF(J13:J112,"I(コア)")</f>
        <v>1</v>
      </c>
    </row>
    <row r="7" customFormat="false" ht="15" hidden="false" customHeight="false" outlineLevel="0" collapsed="false">
      <c r="B7" s="15" t="s">
        <v>80</v>
      </c>
      <c r="C7" s="16" t="n">
        <f aca="false">COUNTIF(J13:J112,"II(回転)")</f>
        <v>1</v>
      </c>
    </row>
    <row r="8" customFormat="false" ht="15" hidden="false" customHeight="false" outlineLevel="0" collapsed="false">
      <c r="B8" s="15" t="s">
        <v>81</v>
      </c>
      <c r="C8" s="16" t="n">
        <f aca="false">COUNTIF(J13:J112,"III(厳選)")</f>
        <v>2</v>
      </c>
    </row>
    <row r="9" customFormat="false" ht="15" hidden="false" customHeight="false" outlineLevel="0" collapsed="false">
      <c r="B9" s="15" t="s">
        <v>82</v>
      </c>
      <c r="C9" s="16" t="n">
        <f aca="false">COUNTIF(J13:J112,"IV(見送り)")</f>
        <v>1</v>
      </c>
    </row>
    <row r="12" customFormat="false" ht="28.35" hidden="false" customHeight="false" outlineLevel="0" collapsed="false">
      <c r="A12" s="17" t="s">
        <v>83</v>
      </c>
      <c r="B12" s="10" t="s">
        <v>84</v>
      </c>
      <c r="C12" s="10" t="s">
        <v>85</v>
      </c>
      <c r="D12" s="10" t="s">
        <v>86</v>
      </c>
      <c r="E12" s="10" t="s">
        <v>87</v>
      </c>
      <c r="F12" s="10" t="s">
        <v>88</v>
      </c>
      <c r="G12" s="10" t="s">
        <v>89</v>
      </c>
      <c r="H12" s="10" t="s">
        <v>90</v>
      </c>
      <c r="I12" s="10" t="s">
        <v>91</v>
      </c>
      <c r="J12" s="10" t="s">
        <v>92</v>
      </c>
      <c r="K12" s="10" t="s">
        <v>93</v>
      </c>
      <c r="L12" s="10" t="s">
        <v>94</v>
      </c>
    </row>
    <row r="13" customFormat="false" ht="15" hidden="false" customHeight="false" outlineLevel="0" collapsed="false">
      <c r="A13" s="16" t="n">
        <f aca="false">IF(B13="","",ROW()-12)</f>
        <v>1</v>
      </c>
      <c r="B13" s="18" t="s">
        <v>95</v>
      </c>
      <c r="C13" s="18" t="s">
        <v>49</v>
      </c>
      <c r="D13" s="19" t="n">
        <v>28000</v>
      </c>
      <c r="E13" s="19" t="n">
        <v>22000</v>
      </c>
      <c r="F13" s="19" t="n">
        <v>30000</v>
      </c>
      <c r="G13" s="20" t="n">
        <v>20</v>
      </c>
      <c r="H13" s="21" t="n">
        <f aca="false">IF(B13="","",F13-E13)</f>
        <v>8000</v>
      </c>
      <c r="I13" s="22" t="n">
        <f aca="false">IF(B13="","",IF(E13=0,"",H13/E13))</f>
        <v>0.363636363636364</v>
      </c>
      <c r="J13" s="7" t="str">
        <f aca="false">IF(B13="","",IF(G13&lt;=設定!$C$6,IF(I13&gt;=設定!$C$7,"I(コア)","II(回転)"),IF(I13&gt;=設定!$C$7,"III(厳選)","IV(見送り)")))</f>
        <v>I(コア)</v>
      </c>
      <c r="K13" s="7" t="str">
        <f aca="false">IF(B13="","",IF(OR(J13="I(コア)",J13="II(回転)"),"仕入れ候補",IF(J13="III(厳選)","厳選検討（少数）","見送り")))</f>
        <v>仕入れ候補</v>
      </c>
      <c r="L13" s="18"/>
    </row>
    <row r="14" customFormat="false" ht="15" hidden="false" customHeight="false" outlineLevel="0" collapsed="false">
      <c r="A14" s="16" t="n">
        <f aca="false">IF(B14="","",ROW()-12)</f>
        <v>2</v>
      </c>
      <c r="B14" s="18" t="s">
        <v>96</v>
      </c>
      <c r="C14" s="18" t="s">
        <v>51</v>
      </c>
      <c r="D14" s="19" t="n">
        <v>32000</v>
      </c>
      <c r="E14" s="19" t="n">
        <v>28000</v>
      </c>
      <c r="F14" s="19" t="n">
        <v>33000</v>
      </c>
      <c r="G14" s="20" t="n">
        <v>10</v>
      </c>
      <c r="H14" s="21" t="n">
        <f aca="false">IF(B14="","",F14-E14)</f>
        <v>5000</v>
      </c>
      <c r="I14" s="22" t="n">
        <f aca="false">IF(B14="","",IF(E14=0,"",H14/E14))</f>
        <v>0.178571428571429</v>
      </c>
      <c r="J14" s="7" t="str">
        <f aca="false">IF(B14="","",IF(G14&lt;=設定!$C$6,IF(I14&gt;=設定!$C$7,"I(コア)","II(回転)"),IF(I14&gt;=設定!$C$7,"III(厳選)","IV(見送り)")))</f>
        <v>II(回転)</v>
      </c>
      <c r="K14" s="7" t="str">
        <f aca="false">IF(B14="","",IF(OR(J14="I(コア)",J14="II(回転)"),"仕入れ候補",IF(J14="III(厳選)","厳選検討（少数）","見送り")))</f>
        <v>仕入れ候補</v>
      </c>
      <c r="L14" s="18"/>
    </row>
    <row r="15" customFormat="false" ht="15" hidden="false" customHeight="false" outlineLevel="0" collapsed="false">
      <c r="A15" s="16" t="n">
        <f aca="false">IF(B15="","",ROW()-12)</f>
        <v>3</v>
      </c>
      <c r="B15" s="18" t="s">
        <v>97</v>
      </c>
      <c r="C15" s="18" t="s">
        <v>50</v>
      </c>
      <c r="D15" s="19" t="n">
        <v>45000</v>
      </c>
      <c r="E15" s="19" t="n">
        <v>38000</v>
      </c>
      <c r="F15" s="19" t="n">
        <v>52000</v>
      </c>
      <c r="G15" s="20" t="n">
        <v>60</v>
      </c>
      <c r="H15" s="21" t="n">
        <f aca="false">IF(B15="","",F15-E15)</f>
        <v>14000</v>
      </c>
      <c r="I15" s="22" t="n">
        <f aca="false">IF(B15="","",IF(E15=0,"",H15/E15))</f>
        <v>0.368421052631579</v>
      </c>
      <c r="J15" s="7" t="str">
        <f aca="false">IF(B15="","",IF(G15&lt;=設定!$C$6,IF(I15&gt;=設定!$C$7,"I(コア)","II(回転)"),IF(I15&gt;=設定!$C$7,"III(厳選)","IV(見送り)")))</f>
        <v>III(厳選)</v>
      </c>
      <c r="K15" s="7" t="str">
        <f aca="false">IF(B15="","",IF(OR(J15="I(コア)",J15="II(回転)"),"仕入れ候補",IF(J15="III(厳選)","厳選検討（少数）","見送り")))</f>
        <v>厳選検討（少数）</v>
      </c>
      <c r="L15" s="18" t="s">
        <v>98</v>
      </c>
    </row>
    <row r="16" customFormat="false" ht="15" hidden="false" customHeight="false" outlineLevel="0" collapsed="false">
      <c r="A16" s="16" t="n">
        <f aca="false">IF(B16="","",ROW()-12)</f>
        <v>4</v>
      </c>
      <c r="B16" s="18" t="s">
        <v>99</v>
      </c>
      <c r="C16" s="18" t="s">
        <v>53</v>
      </c>
      <c r="D16" s="19" t="n">
        <v>9000</v>
      </c>
      <c r="E16" s="19" t="n">
        <v>7000</v>
      </c>
      <c r="F16" s="19" t="n">
        <v>8500</v>
      </c>
      <c r="G16" s="20" t="n">
        <v>45</v>
      </c>
      <c r="H16" s="21" t="n">
        <f aca="false">IF(B16="","",F16-E16)</f>
        <v>1500</v>
      </c>
      <c r="I16" s="22" t="n">
        <f aca="false">IF(B16="","",IF(E16=0,"",H16/E16))</f>
        <v>0.214285714285714</v>
      </c>
      <c r="J16" s="7" t="str">
        <f aca="false">IF(B16="","",IF(G16&lt;=設定!$C$6,IF(I16&gt;=設定!$C$7,"I(コア)","II(回転)"),IF(I16&gt;=設定!$C$7,"III(厳選)","IV(見送り)")))</f>
        <v>III(厳選)</v>
      </c>
      <c r="K16" s="7" t="str">
        <f aca="false">IF(B16="","",IF(OR(J16="I(コア)",J16="II(回転)"),"仕入れ候補",IF(J16="III(厳選)","厳選検討（少数）","見送り")))</f>
        <v>厳選検討（少数）</v>
      </c>
      <c r="L16" s="18" t="s">
        <v>100</v>
      </c>
    </row>
    <row r="17" customFormat="false" ht="15" hidden="false" customHeight="false" outlineLevel="0" collapsed="false">
      <c r="A17" s="16" t="n">
        <f aca="false">IF(B17="","",ROW()-12)</f>
        <v>5</v>
      </c>
      <c r="B17" s="18" t="s">
        <v>101</v>
      </c>
      <c r="C17" s="18" t="s">
        <v>52</v>
      </c>
      <c r="D17" s="19" t="n">
        <v>6000</v>
      </c>
      <c r="E17" s="19" t="n">
        <v>5500</v>
      </c>
      <c r="F17" s="19" t="n">
        <v>5800</v>
      </c>
      <c r="G17" s="20" t="n">
        <v>90</v>
      </c>
      <c r="H17" s="21" t="n">
        <f aca="false">IF(B17="","",F17-E17)</f>
        <v>300</v>
      </c>
      <c r="I17" s="22" t="n">
        <f aca="false">IF(B17="","",IF(E17=0,"",H17/E17))</f>
        <v>0.0545454545454545</v>
      </c>
      <c r="J17" s="7" t="str">
        <f aca="false">IF(B17="","",IF(G17&lt;=設定!$C$6,IF(I17&gt;=設定!$C$7,"I(コア)","II(回転)"),IF(I17&gt;=設定!$C$7,"III(厳選)","IV(見送り)")))</f>
        <v>IV(見送り)</v>
      </c>
      <c r="K17" s="7" t="str">
        <f aca="false">IF(B17="","",IF(OR(J17="I(コア)",J17="II(回転)"),"仕入れ候補",IF(J17="III(厳選)","厳選検討（少数）","見送り")))</f>
        <v>見送り</v>
      </c>
      <c r="L17" s="18"/>
    </row>
    <row r="18" customFormat="false" ht="15" hidden="false" customHeight="false" outlineLevel="0" collapsed="false">
      <c r="A18" s="16" t="str">
        <f aca="false">IF(B18="","",ROW()-12)</f>
        <v/>
      </c>
      <c r="B18" s="18"/>
      <c r="C18" s="18"/>
      <c r="D18" s="19"/>
      <c r="E18" s="19"/>
      <c r="F18" s="19"/>
      <c r="G18" s="20"/>
      <c r="H18" s="21" t="str">
        <f aca="false">IF(B18="","",F18-E18)</f>
        <v/>
      </c>
      <c r="I18" s="22" t="str">
        <f aca="false">IF(B18="","",IF(E18=0,"",H18/E18))</f>
        <v/>
      </c>
      <c r="J18" s="7" t="str">
        <f aca="false">IF(B18="","",IF(G18&lt;=設定!$C$6,IF(I18&gt;=設定!$C$7,"I(コア)","II(回転)"),IF(I18&gt;=設定!$C$7,"III(厳選)","IV(見送り)")))</f>
        <v/>
      </c>
      <c r="K18" s="7" t="str">
        <f aca="false">IF(B18="","",IF(OR(J18="I(コア)",J18="II(回転)"),"仕入れ候補",IF(J18="III(厳選)","厳選検討（少数）","見送り")))</f>
        <v/>
      </c>
      <c r="L18" s="18"/>
    </row>
    <row r="19" customFormat="false" ht="15" hidden="false" customHeight="false" outlineLevel="0" collapsed="false">
      <c r="A19" s="16" t="str">
        <f aca="false">IF(B19="","",ROW()-12)</f>
        <v/>
      </c>
      <c r="B19" s="18"/>
      <c r="C19" s="18"/>
      <c r="D19" s="19"/>
      <c r="E19" s="19"/>
      <c r="F19" s="19"/>
      <c r="G19" s="20"/>
      <c r="H19" s="21" t="str">
        <f aca="false">IF(B19="","",F19-E19)</f>
        <v/>
      </c>
      <c r="I19" s="22" t="str">
        <f aca="false">IF(B19="","",IF(E19=0,"",H19/E19))</f>
        <v/>
      </c>
      <c r="J19" s="7" t="str">
        <f aca="false">IF(B19="","",IF(G19&lt;=設定!$C$6,IF(I19&gt;=設定!$C$7,"I(コア)","II(回転)"),IF(I19&gt;=設定!$C$7,"III(厳選)","IV(見送り)")))</f>
        <v/>
      </c>
      <c r="K19" s="7" t="str">
        <f aca="false">IF(B19="","",IF(OR(J19="I(コア)",J19="II(回転)"),"仕入れ候補",IF(J19="III(厳選)","厳選検討（少数）","見送り")))</f>
        <v/>
      </c>
      <c r="L19" s="18"/>
    </row>
    <row r="20" customFormat="false" ht="15" hidden="false" customHeight="false" outlineLevel="0" collapsed="false">
      <c r="A20" s="16" t="str">
        <f aca="false">IF(B20="","",ROW()-12)</f>
        <v/>
      </c>
      <c r="B20" s="18"/>
      <c r="C20" s="18"/>
      <c r="D20" s="19"/>
      <c r="E20" s="19"/>
      <c r="F20" s="19"/>
      <c r="G20" s="20"/>
      <c r="H20" s="21" t="str">
        <f aca="false">IF(B20="","",F20-E20)</f>
        <v/>
      </c>
      <c r="I20" s="22" t="str">
        <f aca="false">IF(B20="","",IF(E20=0,"",H20/E20))</f>
        <v/>
      </c>
      <c r="J20" s="7" t="str">
        <f aca="false">IF(B20="","",IF(G20&lt;=設定!$C$6,IF(I20&gt;=設定!$C$7,"I(コア)","II(回転)"),IF(I20&gt;=設定!$C$7,"III(厳選)","IV(見送り)")))</f>
        <v/>
      </c>
      <c r="K20" s="7" t="str">
        <f aca="false">IF(B20="","",IF(OR(J20="I(コア)",J20="II(回転)"),"仕入れ候補",IF(J20="III(厳選)","厳選検討（少数）","見送り")))</f>
        <v/>
      </c>
      <c r="L20" s="18"/>
    </row>
    <row r="21" customFormat="false" ht="15" hidden="false" customHeight="false" outlineLevel="0" collapsed="false">
      <c r="A21" s="16" t="str">
        <f aca="false">IF(B21="","",ROW()-12)</f>
        <v/>
      </c>
      <c r="B21" s="18"/>
      <c r="C21" s="18"/>
      <c r="D21" s="19"/>
      <c r="E21" s="19"/>
      <c r="F21" s="19"/>
      <c r="G21" s="20"/>
      <c r="H21" s="21" t="str">
        <f aca="false">IF(B21="","",F21-E21)</f>
        <v/>
      </c>
      <c r="I21" s="22" t="str">
        <f aca="false">IF(B21="","",IF(E21=0,"",H21/E21))</f>
        <v/>
      </c>
      <c r="J21" s="7" t="str">
        <f aca="false">IF(B21="","",IF(G21&lt;=設定!$C$6,IF(I21&gt;=設定!$C$7,"I(コア)","II(回転)"),IF(I21&gt;=設定!$C$7,"III(厳選)","IV(見送り)")))</f>
        <v/>
      </c>
      <c r="K21" s="7" t="str">
        <f aca="false">IF(B21="","",IF(OR(J21="I(コア)",J21="II(回転)"),"仕入れ候補",IF(J21="III(厳選)","厳選検討（少数）","見送り")))</f>
        <v/>
      </c>
      <c r="L21" s="18"/>
    </row>
    <row r="22" customFormat="false" ht="15" hidden="false" customHeight="false" outlineLevel="0" collapsed="false">
      <c r="A22" s="16" t="str">
        <f aca="false">IF(B22="","",ROW()-12)</f>
        <v/>
      </c>
      <c r="B22" s="18"/>
      <c r="C22" s="18"/>
      <c r="D22" s="19"/>
      <c r="E22" s="19"/>
      <c r="F22" s="19"/>
      <c r="G22" s="20"/>
      <c r="H22" s="21" t="str">
        <f aca="false">IF(B22="","",F22-E22)</f>
        <v/>
      </c>
      <c r="I22" s="22" t="str">
        <f aca="false">IF(B22="","",IF(E22=0,"",H22/E22))</f>
        <v/>
      </c>
      <c r="J22" s="7" t="str">
        <f aca="false">IF(B22="","",IF(G22&lt;=設定!$C$6,IF(I22&gt;=設定!$C$7,"I(コア)","II(回転)"),IF(I22&gt;=設定!$C$7,"III(厳選)","IV(見送り)")))</f>
        <v/>
      </c>
      <c r="K22" s="7" t="str">
        <f aca="false">IF(B22="","",IF(OR(J22="I(コア)",J22="II(回転)"),"仕入れ候補",IF(J22="III(厳選)","厳選検討（少数）","見送り")))</f>
        <v/>
      </c>
      <c r="L22" s="18"/>
    </row>
    <row r="23" customFormat="false" ht="15" hidden="false" customHeight="false" outlineLevel="0" collapsed="false">
      <c r="A23" s="16" t="str">
        <f aca="false">IF(B23="","",ROW()-12)</f>
        <v/>
      </c>
      <c r="B23" s="18"/>
      <c r="C23" s="18"/>
      <c r="D23" s="19"/>
      <c r="E23" s="19"/>
      <c r="F23" s="19"/>
      <c r="G23" s="20"/>
      <c r="H23" s="21" t="str">
        <f aca="false">IF(B23="","",F23-E23)</f>
        <v/>
      </c>
      <c r="I23" s="22" t="str">
        <f aca="false">IF(B23="","",IF(E23=0,"",H23/E23))</f>
        <v/>
      </c>
      <c r="J23" s="7" t="str">
        <f aca="false">IF(B23="","",IF(G23&lt;=設定!$C$6,IF(I23&gt;=設定!$C$7,"I(コア)","II(回転)"),IF(I23&gt;=設定!$C$7,"III(厳選)","IV(見送り)")))</f>
        <v/>
      </c>
      <c r="K23" s="7" t="str">
        <f aca="false">IF(B23="","",IF(OR(J23="I(コア)",J23="II(回転)"),"仕入れ候補",IF(J23="III(厳選)","厳選検討（少数）","見送り")))</f>
        <v/>
      </c>
      <c r="L23" s="18"/>
    </row>
    <row r="24" customFormat="false" ht="15" hidden="false" customHeight="false" outlineLevel="0" collapsed="false">
      <c r="A24" s="16" t="str">
        <f aca="false">IF(B24="","",ROW()-12)</f>
        <v/>
      </c>
      <c r="B24" s="18"/>
      <c r="C24" s="18"/>
      <c r="D24" s="19"/>
      <c r="E24" s="19"/>
      <c r="F24" s="19"/>
      <c r="G24" s="20"/>
      <c r="H24" s="21" t="str">
        <f aca="false">IF(B24="","",F24-E24)</f>
        <v/>
      </c>
      <c r="I24" s="22" t="str">
        <f aca="false">IF(B24="","",IF(E24=0,"",H24/E24))</f>
        <v/>
      </c>
      <c r="J24" s="7" t="str">
        <f aca="false">IF(B24="","",IF(G24&lt;=設定!$C$6,IF(I24&gt;=設定!$C$7,"I(コア)","II(回転)"),IF(I24&gt;=設定!$C$7,"III(厳選)","IV(見送り)")))</f>
        <v/>
      </c>
      <c r="K24" s="7" t="str">
        <f aca="false">IF(B24="","",IF(OR(J24="I(コア)",J24="II(回転)"),"仕入れ候補",IF(J24="III(厳選)","厳選検討（少数）","見送り")))</f>
        <v/>
      </c>
      <c r="L24" s="18"/>
    </row>
    <row r="25" customFormat="false" ht="15" hidden="false" customHeight="false" outlineLevel="0" collapsed="false">
      <c r="A25" s="16" t="str">
        <f aca="false">IF(B25="","",ROW()-12)</f>
        <v/>
      </c>
      <c r="B25" s="18"/>
      <c r="C25" s="18"/>
      <c r="D25" s="19"/>
      <c r="E25" s="19"/>
      <c r="F25" s="19"/>
      <c r="G25" s="20"/>
      <c r="H25" s="21" t="str">
        <f aca="false">IF(B25="","",F25-E25)</f>
        <v/>
      </c>
      <c r="I25" s="22" t="str">
        <f aca="false">IF(B25="","",IF(E25=0,"",H25/E25))</f>
        <v/>
      </c>
      <c r="J25" s="7" t="str">
        <f aca="false">IF(B25="","",IF(G25&lt;=設定!$C$6,IF(I25&gt;=設定!$C$7,"I(コア)","II(回転)"),IF(I25&gt;=設定!$C$7,"III(厳選)","IV(見送り)")))</f>
        <v/>
      </c>
      <c r="K25" s="7" t="str">
        <f aca="false">IF(B25="","",IF(OR(J25="I(コア)",J25="II(回転)"),"仕入れ候補",IF(J25="III(厳選)","厳選検討（少数）","見送り")))</f>
        <v/>
      </c>
      <c r="L25" s="18"/>
    </row>
    <row r="26" customFormat="false" ht="15" hidden="false" customHeight="false" outlineLevel="0" collapsed="false">
      <c r="A26" s="16" t="str">
        <f aca="false">IF(B26="","",ROW()-12)</f>
        <v/>
      </c>
      <c r="B26" s="18"/>
      <c r="C26" s="18"/>
      <c r="D26" s="19"/>
      <c r="E26" s="19"/>
      <c r="F26" s="19"/>
      <c r="G26" s="20"/>
      <c r="H26" s="21" t="str">
        <f aca="false">IF(B26="","",F26-E26)</f>
        <v/>
      </c>
      <c r="I26" s="22" t="str">
        <f aca="false">IF(B26="","",IF(E26=0,"",H26/E26))</f>
        <v/>
      </c>
      <c r="J26" s="7" t="str">
        <f aca="false">IF(B26="","",IF(G26&lt;=設定!$C$6,IF(I26&gt;=設定!$C$7,"I(コア)","II(回転)"),IF(I26&gt;=設定!$C$7,"III(厳選)","IV(見送り)")))</f>
        <v/>
      </c>
      <c r="K26" s="7" t="str">
        <f aca="false">IF(B26="","",IF(OR(J26="I(コア)",J26="II(回転)"),"仕入れ候補",IF(J26="III(厳選)","厳選検討（少数）","見送り")))</f>
        <v/>
      </c>
      <c r="L26" s="18"/>
    </row>
    <row r="27" customFormat="false" ht="15" hidden="false" customHeight="false" outlineLevel="0" collapsed="false">
      <c r="A27" s="16" t="str">
        <f aca="false">IF(B27="","",ROW()-12)</f>
        <v/>
      </c>
      <c r="B27" s="18"/>
      <c r="C27" s="18"/>
      <c r="D27" s="19"/>
      <c r="E27" s="19"/>
      <c r="F27" s="19"/>
      <c r="G27" s="20"/>
      <c r="H27" s="21" t="str">
        <f aca="false">IF(B27="","",F27-E27)</f>
        <v/>
      </c>
      <c r="I27" s="22" t="str">
        <f aca="false">IF(B27="","",IF(E27=0,"",H27/E27))</f>
        <v/>
      </c>
      <c r="J27" s="7" t="str">
        <f aca="false">IF(B27="","",IF(G27&lt;=設定!$C$6,IF(I27&gt;=設定!$C$7,"I(コア)","II(回転)"),IF(I27&gt;=設定!$C$7,"III(厳選)","IV(見送り)")))</f>
        <v/>
      </c>
      <c r="K27" s="7" t="str">
        <f aca="false">IF(B27="","",IF(OR(J27="I(コア)",J27="II(回転)"),"仕入れ候補",IF(J27="III(厳選)","厳選検討（少数）","見送り")))</f>
        <v/>
      </c>
      <c r="L27" s="18"/>
    </row>
    <row r="28" customFormat="false" ht="15" hidden="false" customHeight="false" outlineLevel="0" collapsed="false">
      <c r="A28" s="16" t="str">
        <f aca="false">IF(B28="","",ROW()-12)</f>
        <v/>
      </c>
      <c r="B28" s="18"/>
      <c r="C28" s="18"/>
      <c r="D28" s="19"/>
      <c r="E28" s="19"/>
      <c r="F28" s="19"/>
      <c r="G28" s="20"/>
      <c r="H28" s="21" t="str">
        <f aca="false">IF(B28="","",F28-E28)</f>
        <v/>
      </c>
      <c r="I28" s="22" t="str">
        <f aca="false">IF(B28="","",IF(E28=0,"",H28/E28))</f>
        <v/>
      </c>
      <c r="J28" s="7" t="str">
        <f aca="false">IF(B28="","",IF(G28&lt;=設定!$C$6,IF(I28&gt;=設定!$C$7,"I(コア)","II(回転)"),IF(I28&gt;=設定!$C$7,"III(厳選)","IV(見送り)")))</f>
        <v/>
      </c>
      <c r="K28" s="7" t="str">
        <f aca="false">IF(B28="","",IF(OR(J28="I(コア)",J28="II(回転)"),"仕入れ候補",IF(J28="III(厳選)","厳選検討（少数）","見送り")))</f>
        <v/>
      </c>
      <c r="L28" s="18"/>
    </row>
    <row r="29" customFormat="false" ht="15" hidden="false" customHeight="false" outlineLevel="0" collapsed="false">
      <c r="A29" s="16" t="str">
        <f aca="false">IF(B29="","",ROW()-12)</f>
        <v/>
      </c>
      <c r="B29" s="18"/>
      <c r="C29" s="18"/>
      <c r="D29" s="19"/>
      <c r="E29" s="19"/>
      <c r="F29" s="19"/>
      <c r="G29" s="20"/>
      <c r="H29" s="21" t="str">
        <f aca="false">IF(B29="","",F29-E29)</f>
        <v/>
      </c>
      <c r="I29" s="22" t="str">
        <f aca="false">IF(B29="","",IF(E29=0,"",H29/E29))</f>
        <v/>
      </c>
      <c r="J29" s="7" t="str">
        <f aca="false">IF(B29="","",IF(G29&lt;=設定!$C$6,IF(I29&gt;=設定!$C$7,"I(コア)","II(回転)"),IF(I29&gt;=設定!$C$7,"III(厳選)","IV(見送り)")))</f>
        <v/>
      </c>
      <c r="K29" s="7" t="str">
        <f aca="false">IF(B29="","",IF(OR(J29="I(コア)",J29="II(回転)"),"仕入れ候補",IF(J29="III(厳選)","厳選検討（少数）","見送り")))</f>
        <v/>
      </c>
      <c r="L29" s="18"/>
    </row>
    <row r="30" customFormat="false" ht="15" hidden="false" customHeight="false" outlineLevel="0" collapsed="false">
      <c r="A30" s="16" t="str">
        <f aca="false">IF(B30="","",ROW()-12)</f>
        <v/>
      </c>
      <c r="B30" s="18"/>
      <c r="C30" s="18"/>
      <c r="D30" s="19"/>
      <c r="E30" s="19"/>
      <c r="F30" s="19"/>
      <c r="G30" s="20"/>
      <c r="H30" s="21" t="str">
        <f aca="false">IF(B30="","",F30-E30)</f>
        <v/>
      </c>
      <c r="I30" s="22" t="str">
        <f aca="false">IF(B30="","",IF(E30=0,"",H30/E30))</f>
        <v/>
      </c>
      <c r="J30" s="7" t="str">
        <f aca="false">IF(B30="","",IF(G30&lt;=設定!$C$6,IF(I30&gt;=設定!$C$7,"I(コア)","II(回転)"),IF(I30&gt;=設定!$C$7,"III(厳選)","IV(見送り)")))</f>
        <v/>
      </c>
      <c r="K30" s="7" t="str">
        <f aca="false">IF(B30="","",IF(OR(J30="I(コア)",J30="II(回転)"),"仕入れ候補",IF(J30="III(厳選)","厳選検討（少数）","見送り")))</f>
        <v/>
      </c>
      <c r="L30" s="18"/>
    </row>
    <row r="31" customFormat="false" ht="15" hidden="false" customHeight="false" outlineLevel="0" collapsed="false">
      <c r="A31" s="16" t="str">
        <f aca="false">IF(B31="","",ROW()-12)</f>
        <v/>
      </c>
      <c r="B31" s="18"/>
      <c r="C31" s="18"/>
      <c r="D31" s="19"/>
      <c r="E31" s="19"/>
      <c r="F31" s="19"/>
      <c r="G31" s="20"/>
      <c r="H31" s="21" t="str">
        <f aca="false">IF(B31="","",F31-E31)</f>
        <v/>
      </c>
      <c r="I31" s="22" t="str">
        <f aca="false">IF(B31="","",IF(E31=0,"",H31/E31))</f>
        <v/>
      </c>
      <c r="J31" s="7" t="str">
        <f aca="false">IF(B31="","",IF(G31&lt;=設定!$C$6,IF(I31&gt;=設定!$C$7,"I(コア)","II(回転)"),IF(I31&gt;=設定!$C$7,"III(厳選)","IV(見送り)")))</f>
        <v/>
      </c>
      <c r="K31" s="7" t="str">
        <f aca="false">IF(B31="","",IF(OR(J31="I(コア)",J31="II(回転)"),"仕入れ候補",IF(J31="III(厳選)","厳選検討（少数）","見送り")))</f>
        <v/>
      </c>
      <c r="L31" s="18"/>
    </row>
    <row r="32" customFormat="false" ht="15" hidden="false" customHeight="false" outlineLevel="0" collapsed="false">
      <c r="A32" s="16" t="str">
        <f aca="false">IF(B32="","",ROW()-12)</f>
        <v/>
      </c>
      <c r="B32" s="18"/>
      <c r="C32" s="18"/>
      <c r="D32" s="19"/>
      <c r="E32" s="19"/>
      <c r="F32" s="19"/>
      <c r="G32" s="20"/>
      <c r="H32" s="21" t="str">
        <f aca="false">IF(B32="","",F32-E32)</f>
        <v/>
      </c>
      <c r="I32" s="22" t="str">
        <f aca="false">IF(B32="","",IF(E32=0,"",H32/E32))</f>
        <v/>
      </c>
      <c r="J32" s="7" t="str">
        <f aca="false">IF(B32="","",IF(G32&lt;=設定!$C$6,IF(I32&gt;=設定!$C$7,"I(コア)","II(回転)"),IF(I32&gt;=設定!$C$7,"III(厳選)","IV(見送り)")))</f>
        <v/>
      </c>
      <c r="K32" s="7" t="str">
        <f aca="false">IF(B32="","",IF(OR(J32="I(コア)",J32="II(回転)"),"仕入れ候補",IF(J32="III(厳選)","厳選検討（少数）","見送り")))</f>
        <v/>
      </c>
      <c r="L32" s="18"/>
    </row>
    <row r="33" customFormat="false" ht="15" hidden="false" customHeight="false" outlineLevel="0" collapsed="false">
      <c r="A33" s="16" t="str">
        <f aca="false">IF(B33="","",ROW()-12)</f>
        <v/>
      </c>
      <c r="B33" s="18"/>
      <c r="C33" s="18"/>
      <c r="D33" s="19"/>
      <c r="E33" s="19"/>
      <c r="F33" s="19"/>
      <c r="G33" s="20"/>
      <c r="H33" s="21" t="str">
        <f aca="false">IF(B33="","",F33-E33)</f>
        <v/>
      </c>
      <c r="I33" s="22" t="str">
        <f aca="false">IF(B33="","",IF(E33=0,"",H33/E33))</f>
        <v/>
      </c>
      <c r="J33" s="7" t="str">
        <f aca="false">IF(B33="","",IF(G33&lt;=設定!$C$6,IF(I33&gt;=設定!$C$7,"I(コア)","II(回転)"),IF(I33&gt;=設定!$C$7,"III(厳選)","IV(見送り)")))</f>
        <v/>
      </c>
      <c r="K33" s="7" t="str">
        <f aca="false">IF(B33="","",IF(OR(J33="I(コア)",J33="II(回転)"),"仕入れ候補",IF(J33="III(厳選)","厳選検討（少数）","見送り")))</f>
        <v/>
      </c>
      <c r="L33" s="18"/>
    </row>
    <row r="34" customFormat="false" ht="15" hidden="false" customHeight="false" outlineLevel="0" collapsed="false">
      <c r="A34" s="16" t="str">
        <f aca="false">IF(B34="","",ROW()-12)</f>
        <v/>
      </c>
      <c r="B34" s="18"/>
      <c r="C34" s="18"/>
      <c r="D34" s="19"/>
      <c r="E34" s="19"/>
      <c r="F34" s="19"/>
      <c r="G34" s="20"/>
      <c r="H34" s="21" t="str">
        <f aca="false">IF(B34="","",F34-E34)</f>
        <v/>
      </c>
      <c r="I34" s="22" t="str">
        <f aca="false">IF(B34="","",IF(E34=0,"",H34/E34))</f>
        <v/>
      </c>
      <c r="J34" s="7" t="str">
        <f aca="false">IF(B34="","",IF(G34&lt;=設定!$C$6,IF(I34&gt;=設定!$C$7,"I(コア)","II(回転)"),IF(I34&gt;=設定!$C$7,"III(厳選)","IV(見送り)")))</f>
        <v/>
      </c>
      <c r="K34" s="7" t="str">
        <f aca="false">IF(B34="","",IF(OR(J34="I(コア)",J34="II(回転)"),"仕入れ候補",IF(J34="III(厳選)","厳選検討（少数）","見送り")))</f>
        <v/>
      </c>
      <c r="L34" s="18"/>
    </row>
    <row r="35" customFormat="false" ht="15" hidden="false" customHeight="false" outlineLevel="0" collapsed="false">
      <c r="A35" s="16" t="str">
        <f aca="false">IF(B35="","",ROW()-12)</f>
        <v/>
      </c>
      <c r="B35" s="18"/>
      <c r="C35" s="18"/>
      <c r="D35" s="19"/>
      <c r="E35" s="19"/>
      <c r="F35" s="19"/>
      <c r="G35" s="20"/>
      <c r="H35" s="21" t="str">
        <f aca="false">IF(B35="","",F35-E35)</f>
        <v/>
      </c>
      <c r="I35" s="22" t="str">
        <f aca="false">IF(B35="","",IF(E35=0,"",H35/E35))</f>
        <v/>
      </c>
      <c r="J35" s="7" t="str">
        <f aca="false">IF(B35="","",IF(G35&lt;=設定!$C$6,IF(I35&gt;=設定!$C$7,"I(コア)","II(回転)"),IF(I35&gt;=設定!$C$7,"III(厳選)","IV(見送り)")))</f>
        <v/>
      </c>
      <c r="K35" s="7" t="str">
        <f aca="false">IF(B35="","",IF(OR(J35="I(コア)",J35="II(回転)"),"仕入れ候補",IF(J35="III(厳選)","厳選検討（少数）","見送り")))</f>
        <v/>
      </c>
      <c r="L35" s="18"/>
    </row>
    <row r="36" customFormat="false" ht="15" hidden="false" customHeight="false" outlineLevel="0" collapsed="false">
      <c r="A36" s="16" t="str">
        <f aca="false">IF(B36="","",ROW()-12)</f>
        <v/>
      </c>
      <c r="B36" s="18"/>
      <c r="C36" s="18"/>
      <c r="D36" s="19"/>
      <c r="E36" s="19"/>
      <c r="F36" s="19"/>
      <c r="G36" s="20"/>
      <c r="H36" s="21" t="str">
        <f aca="false">IF(B36="","",F36-E36)</f>
        <v/>
      </c>
      <c r="I36" s="22" t="str">
        <f aca="false">IF(B36="","",IF(E36=0,"",H36/E36))</f>
        <v/>
      </c>
      <c r="J36" s="7" t="str">
        <f aca="false">IF(B36="","",IF(G36&lt;=設定!$C$6,IF(I36&gt;=設定!$C$7,"I(コア)","II(回転)"),IF(I36&gt;=設定!$C$7,"III(厳選)","IV(見送り)")))</f>
        <v/>
      </c>
      <c r="K36" s="7" t="str">
        <f aca="false">IF(B36="","",IF(OR(J36="I(コア)",J36="II(回転)"),"仕入れ候補",IF(J36="III(厳選)","厳選検討（少数）","見送り")))</f>
        <v/>
      </c>
      <c r="L36" s="18"/>
    </row>
    <row r="37" customFormat="false" ht="15" hidden="false" customHeight="false" outlineLevel="0" collapsed="false">
      <c r="A37" s="16" t="str">
        <f aca="false">IF(B37="","",ROW()-12)</f>
        <v/>
      </c>
      <c r="B37" s="18"/>
      <c r="C37" s="18"/>
      <c r="D37" s="19"/>
      <c r="E37" s="19"/>
      <c r="F37" s="19"/>
      <c r="G37" s="20"/>
      <c r="H37" s="21" t="str">
        <f aca="false">IF(B37="","",F37-E37)</f>
        <v/>
      </c>
      <c r="I37" s="22" t="str">
        <f aca="false">IF(B37="","",IF(E37=0,"",H37/E37))</f>
        <v/>
      </c>
      <c r="J37" s="7" t="str">
        <f aca="false">IF(B37="","",IF(G37&lt;=設定!$C$6,IF(I37&gt;=設定!$C$7,"I(コア)","II(回転)"),IF(I37&gt;=設定!$C$7,"III(厳選)","IV(見送り)")))</f>
        <v/>
      </c>
      <c r="K37" s="7" t="str">
        <f aca="false">IF(B37="","",IF(OR(J37="I(コア)",J37="II(回転)"),"仕入れ候補",IF(J37="III(厳選)","厳選検討（少数）","見送り")))</f>
        <v/>
      </c>
      <c r="L37" s="18"/>
    </row>
    <row r="38" customFormat="false" ht="15" hidden="false" customHeight="false" outlineLevel="0" collapsed="false">
      <c r="A38" s="16" t="str">
        <f aca="false">IF(B38="","",ROW()-12)</f>
        <v/>
      </c>
      <c r="B38" s="18"/>
      <c r="C38" s="18"/>
      <c r="D38" s="19"/>
      <c r="E38" s="19"/>
      <c r="F38" s="19"/>
      <c r="G38" s="20"/>
      <c r="H38" s="21" t="str">
        <f aca="false">IF(B38="","",F38-E38)</f>
        <v/>
      </c>
      <c r="I38" s="22" t="str">
        <f aca="false">IF(B38="","",IF(E38=0,"",H38/E38))</f>
        <v/>
      </c>
      <c r="J38" s="7" t="str">
        <f aca="false">IF(B38="","",IF(G38&lt;=設定!$C$6,IF(I38&gt;=設定!$C$7,"I(コア)","II(回転)"),IF(I38&gt;=設定!$C$7,"III(厳選)","IV(見送り)")))</f>
        <v/>
      </c>
      <c r="K38" s="7" t="str">
        <f aca="false">IF(B38="","",IF(OR(J38="I(コア)",J38="II(回転)"),"仕入れ候補",IF(J38="III(厳選)","厳選検討（少数）","見送り")))</f>
        <v/>
      </c>
      <c r="L38" s="18"/>
    </row>
    <row r="39" customFormat="false" ht="15" hidden="false" customHeight="false" outlineLevel="0" collapsed="false">
      <c r="A39" s="16" t="str">
        <f aca="false">IF(B39="","",ROW()-12)</f>
        <v/>
      </c>
      <c r="B39" s="18"/>
      <c r="C39" s="18"/>
      <c r="D39" s="19"/>
      <c r="E39" s="19"/>
      <c r="F39" s="19"/>
      <c r="G39" s="20"/>
      <c r="H39" s="21" t="str">
        <f aca="false">IF(B39="","",F39-E39)</f>
        <v/>
      </c>
      <c r="I39" s="22" t="str">
        <f aca="false">IF(B39="","",IF(E39=0,"",H39/E39))</f>
        <v/>
      </c>
      <c r="J39" s="7" t="str">
        <f aca="false">IF(B39="","",IF(G39&lt;=設定!$C$6,IF(I39&gt;=設定!$C$7,"I(コア)","II(回転)"),IF(I39&gt;=設定!$C$7,"III(厳選)","IV(見送り)")))</f>
        <v/>
      </c>
      <c r="K39" s="7" t="str">
        <f aca="false">IF(B39="","",IF(OR(J39="I(コア)",J39="II(回転)"),"仕入れ候補",IF(J39="III(厳選)","厳選検討（少数）","見送り")))</f>
        <v/>
      </c>
      <c r="L39" s="18"/>
    </row>
    <row r="40" customFormat="false" ht="15" hidden="false" customHeight="false" outlineLevel="0" collapsed="false">
      <c r="A40" s="16" t="str">
        <f aca="false">IF(B40="","",ROW()-12)</f>
        <v/>
      </c>
      <c r="B40" s="18"/>
      <c r="C40" s="18"/>
      <c r="D40" s="19"/>
      <c r="E40" s="19"/>
      <c r="F40" s="19"/>
      <c r="G40" s="20"/>
      <c r="H40" s="21" t="str">
        <f aca="false">IF(B40="","",F40-E40)</f>
        <v/>
      </c>
      <c r="I40" s="22" t="str">
        <f aca="false">IF(B40="","",IF(E40=0,"",H40/E40))</f>
        <v/>
      </c>
      <c r="J40" s="7" t="str">
        <f aca="false">IF(B40="","",IF(G40&lt;=設定!$C$6,IF(I40&gt;=設定!$C$7,"I(コア)","II(回転)"),IF(I40&gt;=設定!$C$7,"III(厳選)","IV(見送り)")))</f>
        <v/>
      </c>
      <c r="K40" s="7" t="str">
        <f aca="false">IF(B40="","",IF(OR(J40="I(コア)",J40="II(回転)"),"仕入れ候補",IF(J40="III(厳選)","厳選検討（少数）","見送り")))</f>
        <v/>
      </c>
      <c r="L40" s="18"/>
    </row>
    <row r="41" customFormat="false" ht="15" hidden="false" customHeight="false" outlineLevel="0" collapsed="false">
      <c r="A41" s="16" t="str">
        <f aca="false">IF(B41="","",ROW()-12)</f>
        <v/>
      </c>
      <c r="B41" s="18"/>
      <c r="C41" s="18"/>
      <c r="D41" s="19"/>
      <c r="E41" s="19"/>
      <c r="F41" s="19"/>
      <c r="G41" s="20"/>
      <c r="H41" s="21" t="str">
        <f aca="false">IF(B41="","",F41-E41)</f>
        <v/>
      </c>
      <c r="I41" s="22" t="str">
        <f aca="false">IF(B41="","",IF(E41=0,"",H41/E41))</f>
        <v/>
      </c>
      <c r="J41" s="7" t="str">
        <f aca="false">IF(B41="","",IF(G41&lt;=設定!$C$6,IF(I41&gt;=設定!$C$7,"I(コア)","II(回転)"),IF(I41&gt;=設定!$C$7,"III(厳選)","IV(見送り)")))</f>
        <v/>
      </c>
      <c r="K41" s="7" t="str">
        <f aca="false">IF(B41="","",IF(OR(J41="I(コア)",J41="II(回転)"),"仕入れ候補",IF(J41="III(厳選)","厳選検討（少数）","見送り")))</f>
        <v/>
      </c>
      <c r="L41" s="18"/>
    </row>
    <row r="42" customFormat="false" ht="15" hidden="false" customHeight="false" outlineLevel="0" collapsed="false">
      <c r="A42" s="16" t="str">
        <f aca="false">IF(B42="","",ROW()-12)</f>
        <v/>
      </c>
      <c r="B42" s="18"/>
      <c r="C42" s="18"/>
      <c r="D42" s="19"/>
      <c r="E42" s="19"/>
      <c r="F42" s="19"/>
      <c r="G42" s="20"/>
      <c r="H42" s="21" t="str">
        <f aca="false">IF(B42="","",F42-E42)</f>
        <v/>
      </c>
      <c r="I42" s="22" t="str">
        <f aca="false">IF(B42="","",IF(E42=0,"",H42/E42))</f>
        <v/>
      </c>
      <c r="J42" s="7" t="str">
        <f aca="false">IF(B42="","",IF(G42&lt;=設定!$C$6,IF(I42&gt;=設定!$C$7,"I(コア)","II(回転)"),IF(I42&gt;=設定!$C$7,"III(厳選)","IV(見送り)")))</f>
        <v/>
      </c>
      <c r="K42" s="7" t="str">
        <f aca="false">IF(B42="","",IF(OR(J42="I(コア)",J42="II(回転)"),"仕入れ候補",IF(J42="III(厳選)","厳選検討（少数）","見送り")))</f>
        <v/>
      </c>
      <c r="L42" s="18"/>
    </row>
    <row r="43" customFormat="false" ht="15" hidden="false" customHeight="false" outlineLevel="0" collapsed="false">
      <c r="A43" s="16" t="str">
        <f aca="false">IF(B43="","",ROW()-12)</f>
        <v/>
      </c>
      <c r="B43" s="18"/>
      <c r="C43" s="18"/>
      <c r="D43" s="19"/>
      <c r="E43" s="19"/>
      <c r="F43" s="19"/>
      <c r="G43" s="20"/>
      <c r="H43" s="21" t="str">
        <f aca="false">IF(B43="","",F43-E43)</f>
        <v/>
      </c>
      <c r="I43" s="22" t="str">
        <f aca="false">IF(B43="","",IF(E43=0,"",H43/E43))</f>
        <v/>
      </c>
      <c r="J43" s="7" t="str">
        <f aca="false">IF(B43="","",IF(G43&lt;=設定!$C$6,IF(I43&gt;=設定!$C$7,"I(コア)","II(回転)"),IF(I43&gt;=設定!$C$7,"III(厳選)","IV(見送り)")))</f>
        <v/>
      </c>
      <c r="K43" s="7" t="str">
        <f aca="false">IF(B43="","",IF(OR(J43="I(コア)",J43="II(回転)"),"仕入れ候補",IF(J43="III(厳選)","厳選検討（少数）","見送り")))</f>
        <v/>
      </c>
      <c r="L43" s="18"/>
    </row>
    <row r="44" customFormat="false" ht="15" hidden="false" customHeight="false" outlineLevel="0" collapsed="false">
      <c r="A44" s="16" t="str">
        <f aca="false">IF(B44="","",ROW()-12)</f>
        <v/>
      </c>
      <c r="B44" s="18"/>
      <c r="C44" s="18"/>
      <c r="D44" s="19"/>
      <c r="E44" s="19"/>
      <c r="F44" s="19"/>
      <c r="G44" s="20"/>
      <c r="H44" s="21" t="str">
        <f aca="false">IF(B44="","",F44-E44)</f>
        <v/>
      </c>
      <c r="I44" s="22" t="str">
        <f aca="false">IF(B44="","",IF(E44=0,"",H44/E44))</f>
        <v/>
      </c>
      <c r="J44" s="7" t="str">
        <f aca="false">IF(B44="","",IF(G44&lt;=設定!$C$6,IF(I44&gt;=設定!$C$7,"I(コア)","II(回転)"),IF(I44&gt;=設定!$C$7,"III(厳選)","IV(見送り)")))</f>
        <v/>
      </c>
      <c r="K44" s="7" t="str">
        <f aca="false">IF(B44="","",IF(OR(J44="I(コア)",J44="II(回転)"),"仕入れ候補",IF(J44="III(厳選)","厳選検討（少数）","見送り")))</f>
        <v/>
      </c>
      <c r="L44" s="18"/>
    </row>
    <row r="45" customFormat="false" ht="15" hidden="false" customHeight="false" outlineLevel="0" collapsed="false">
      <c r="A45" s="16" t="str">
        <f aca="false">IF(B45="","",ROW()-12)</f>
        <v/>
      </c>
      <c r="B45" s="18"/>
      <c r="C45" s="18"/>
      <c r="D45" s="19"/>
      <c r="E45" s="19"/>
      <c r="F45" s="19"/>
      <c r="G45" s="20"/>
      <c r="H45" s="21" t="str">
        <f aca="false">IF(B45="","",F45-E45)</f>
        <v/>
      </c>
      <c r="I45" s="22" t="str">
        <f aca="false">IF(B45="","",IF(E45=0,"",H45/E45))</f>
        <v/>
      </c>
      <c r="J45" s="7" t="str">
        <f aca="false">IF(B45="","",IF(G45&lt;=設定!$C$6,IF(I45&gt;=設定!$C$7,"I(コア)","II(回転)"),IF(I45&gt;=設定!$C$7,"III(厳選)","IV(見送り)")))</f>
        <v/>
      </c>
      <c r="K45" s="7" t="str">
        <f aca="false">IF(B45="","",IF(OR(J45="I(コア)",J45="II(回転)"),"仕入れ候補",IF(J45="III(厳選)","厳選検討（少数）","見送り")))</f>
        <v/>
      </c>
      <c r="L45" s="18"/>
    </row>
    <row r="46" customFormat="false" ht="15" hidden="false" customHeight="false" outlineLevel="0" collapsed="false">
      <c r="A46" s="16" t="str">
        <f aca="false">IF(B46="","",ROW()-12)</f>
        <v/>
      </c>
      <c r="B46" s="18"/>
      <c r="C46" s="18"/>
      <c r="D46" s="19"/>
      <c r="E46" s="19"/>
      <c r="F46" s="19"/>
      <c r="G46" s="20"/>
      <c r="H46" s="21" t="str">
        <f aca="false">IF(B46="","",F46-E46)</f>
        <v/>
      </c>
      <c r="I46" s="22" t="str">
        <f aca="false">IF(B46="","",IF(E46=0,"",H46/E46))</f>
        <v/>
      </c>
      <c r="J46" s="7" t="str">
        <f aca="false">IF(B46="","",IF(G46&lt;=設定!$C$6,IF(I46&gt;=設定!$C$7,"I(コア)","II(回転)"),IF(I46&gt;=設定!$C$7,"III(厳選)","IV(見送り)")))</f>
        <v/>
      </c>
      <c r="K46" s="7" t="str">
        <f aca="false">IF(B46="","",IF(OR(J46="I(コア)",J46="II(回転)"),"仕入れ候補",IF(J46="III(厳選)","厳選検討（少数）","見送り")))</f>
        <v/>
      </c>
      <c r="L46" s="18"/>
    </row>
    <row r="47" customFormat="false" ht="15" hidden="false" customHeight="false" outlineLevel="0" collapsed="false">
      <c r="A47" s="16" t="str">
        <f aca="false">IF(B47="","",ROW()-12)</f>
        <v/>
      </c>
      <c r="B47" s="18"/>
      <c r="C47" s="18"/>
      <c r="D47" s="19"/>
      <c r="E47" s="19"/>
      <c r="F47" s="19"/>
      <c r="G47" s="20"/>
      <c r="H47" s="21" t="str">
        <f aca="false">IF(B47="","",F47-E47)</f>
        <v/>
      </c>
      <c r="I47" s="22" t="str">
        <f aca="false">IF(B47="","",IF(E47=0,"",H47/E47))</f>
        <v/>
      </c>
      <c r="J47" s="7" t="str">
        <f aca="false">IF(B47="","",IF(G47&lt;=設定!$C$6,IF(I47&gt;=設定!$C$7,"I(コア)","II(回転)"),IF(I47&gt;=設定!$C$7,"III(厳選)","IV(見送り)")))</f>
        <v/>
      </c>
      <c r="K47" s="7" t="str">
        <f aca="false">IF(B47="","",IF(OR(J47="I(コア)",J47="II(回転)"),"仕入れ候補",IF(J47="III(厳選)","厳選検討（少数）","見送り")))</f>
        <v/>
      </c>
      <c r="L47" s="18"/>
    </row>
    <row r="48" customFormat="false" ht="15" hidden="false" customHeight="false" outlineLevel="0" collapsed="false">
      <c r="A48" s="16" t="str">
        <f aca="false">IF(B48="","",ROW()-12)</f>
        <v/>
      </c>
      <c r="B48" s="18"/>
      <c r="C48" s="18"/>
      <c r="D48" s="19"/>
      <c r="E48" s="19"/>
      <c r="F48" s="19"/>
      <c r="G48" s="20"/>
      <c r="H48" s="21" t="str">
        <f aca="false">IF(B48="","",F48-E48)</f>
        <v/>
      </c>
      <c r="I48" s="22" t="str">
        <f aca="false">IF(B48="","",IF(E48=0,"",H48/E48))</f>
        <v/>
      </c>
      <c r="J48" s="7" t="str">
        <f aca="false">IF(B48="","",IF(G48&lt;=設定!$C$6,IF(I48&gt;=設定!$C$7,"I(コア)","II(回転)"),IF(I48&gt;=設定!$C$7,"III(厳選)","IV(見送り)")))</f>
        <v/>
      </c>
      <c r="K48" s="7" t="str">
        <f aca="false">IF(B48="","",IF(OR(J48="I(コア)",J48="II(回転)"),"仕入れ候補",IF(J48="III(厳選)","厳選検討（少数）","見送り")))</f>
        <v/>
      </c>
      <c r="L48" s="18"/>
    </row>
    <row r="49" customFormat="false" ht="15" hidden="false" customHeight="false" outlineLevel="0" collapsed="false">
      <c r="A49" s="16" t="str">
        <f aca="false">IF(B49="","",ROW()-12)</f>
        <v/>
      </c>
      <c r="B49" s="18"/>
      <c r="C49" s="18"/>
      <c r="D49" s="19"/>
      <c r="E49" s="19"/>
      <c r="F49" s="19"/>
      <c r="G49" s="20"/>
      <c r="H49" s="21" t="str">
        <f aca="false">IF(B49="","",F49-E49)</f>
        <v/>
      </c>
      <c r="I49" s="22" t="str">
        <f aca="false">IF(B49="","",IF(E49=0,"",H49/E49))</f>
        <v/>
      </c>
      <c r="J49" s="7" t="str">
        <f aca="false">IF(B49="","",IF(G49&lt;=設定!$C$6,IF(I49&gt;=設定!$C$7,"I(コア)","II(回転)"),IF(I49&gt;=設定!$C$7,"III(厳選)","IV(見送り)")))</f>
        <v/>
      </c>
      <c r="K49" s="7" t="str">
        <f aca="false">IF(B49="","",IF(OR(J49="I(コア)",J49="II(回転)"),"仕入れ候補",IF(J49="III(厳選)","厳選検討（少数）","見送り")))</f>
        <v/>
      </c>
      <c r="L49" s="18"/>
    </row>
    <row r="50" customFormat="false" ht="15" hidden="false" customHeight="false" outlineLevel="0" collapsed="false">
      <c r="A50" s="16" t="str">
        <f aca="false">IF(B50="","",ROW()-12)</f>
        <v/>
      </c>
      <c r="B50" s="18"/>
      <c r="C50" s="18"/>
      <c r="D50" s="19"/>
      <c r="E50" s="19"/>
      <c r="F50" s="19"/>
      <c r="G50" s="20"/>
      <c r="H50" s="21" t="str">
        <f aca="false">IF(B50="","",F50-E50)</f>
        <v/>
      </c>
      <c r="I50" s="22" t="str">
        <f aca="false">IF(B50="","",IF(E50=0,"",H50/E50))</f>
        <v/>
      </c>
      <c r="J50" s="7" t="str">
        <f aca="false">IF(B50="","",IF(G50&lt;=設定!$C$6,IF(I50&gt;=設定!$C$7,"I(コア)","II(回転)"),IF(I50&gt;=設定!$C$7,"III(厳選)","IV(見送り)")))</f>
        <v/>
      </c>
      <c r="K50" s="7" t="str">
        <f aca="false">IF(B50="","",IF(OR(J50="I(コア)",J50="II(回転)"),"仕入れ候補",IF(J50="III(厳選)","厳選検討（少数）","見送り")))</f>
        <v/>
      </c>
      <c r="L50" s="18"/>
    </row>
    <row r="51" customFormat="false" ht="15" hidden="false" customHeight="false" outlineLevel="0" collapsed="false">
      <c r="A51" s="16" t="str">
        <f aca="false">IF(B51="","",ROW()-12)</f>
        <v/>
      </c>
      <c r="B51" s="18"/>
      <c r="C51" s="18"/>
      <c r="D51" s="19"/>
      <c r="E51" s="19"/>
      <c r="F51" s="19"/>
      <c r="G51" s="20"/>
      <c r="H51" s="21" t="str">
        <f aca="false">IF(B51="","",F51-E51)</f>
        <v/>
      </c>
      <c r="I51" s="22" t="str">
        <f aca="false">IF(B51="","",IF(E51=0,"",H51/E51))</f>
        <v/>
      </c>
      <c r="J51" s="7" t="str">
        <f aca="false">IF(B51="","",IF(G51&lt;=設定!$C$6,IF(I51&gt;=設定!$C$7,"I(コア)","II(回転)"),IF(I51&gt;=設定!$C$7,"III(厳選)","IV(見送り)")))</f>
        <v/>
      </c>
      <c r="K51" s="7" t="str">
        <f aca="false">IF(B51="","",IF(OR(J51="I(コア)",J51="II(回転)"),"仕入れ候補",IF(J51="III(厳選)","厳選検討（少数）","見送り")))</f>
        <v/>
      </c>
      <c r="L51" s="18"/>
    </row>
    <row r="52" customFormat="false" ht="15" hidden="false" customHeight="false" outlineLevel="0" collapsed="false">
      <c r="A52" s="16" t="str">
        <f aca="false">IF(B52="","",ROW()-12)</f>
        <v/>
      </c>
      <c r="B52" s="18"/>
      <c r="C52" s="18"/>
      <c r="D52" s="19"/>
      <c r="E52" s="19"/>
      <c r="F52" s="19"/>
      <c r="G52" s="20"/>
      <c r="H52" s="21" t="str">
        <f aca="false">IF(B52="","",F52-E52)</f>
        <v/>
      </c>
      <c r="I52" s="22" t="str">
        <f aca="false">IF(B52="","",IF(E52=0,"",H52/E52))</f>
        <v/>
      </c>
      <c r="J52" s="7" t="str">
        <f aca="false">IF(B52="","",IF(G52&lt;=設定!$C$6,IF(I52&gt;=設定!$C$7,"I(コア)","II(回転)"),IF(I52&gt;=設定!$C$7,"III(厳選)","IV(見送り)")))</f>
        <v/>
      </c>
      <c r="K52" s="7" t="str">
        <f aca="false">IF(B52="","",IF(OR(J52="I(コア)",J52="II(回転)"),"仕入れ候補",IF(J52="III(厳選)","厳選検討（少数）","見送り")))</f>
        <v/>
      </c>
      <c r="L52" s="18"/>
    </row>
    <row r="53" customFormat="false" ht="15" hidden="false" customHeight="false" outlineLevel="0" collapsed="false">
      <c r="A53" s="16" t="str">
        <f aca="false">IF(B53="","",ROW()-12)</f>
        <v/>
      </c>
      <c r="B53" s="18"/>
      <c r="C53" s="18"/>
      <c r="D53" s="19"/>
      <c r="E53" s="19"/>
      <c r="F53" s="19"/>
      <c r="G53" s="20"/>
      <c r="H53" s="21" t="str">
        <f aca="false">IF(B53="","",F53-E53)</f>
        <v/>
      </c>
      <c r="I53" s="22" t="str">
        <f aca="false">IF(B53="","",IF(E53=0,"",H53/E53))</f>
        <v/>
      </c>
      <c r="J53" s="7" t="str">
        <f aca="false">IF(B53="","",IF(G53&lt;=設定!$C$6,IF(I53&gt;=設定!$C$7,"I(コア)","II(回転)"),IF(I53&gt;=設定!$C$7,"III(厳選)","IV(見送り)")))</f>
        <v/>
      </c>
      <c r="K53" s="7" t="str">
        <f aca="false">IF(B53="","",IF(OR(J53="I(コア)",J53="II(回転)"),"仕入れ候補",IF(J53="III(厳選)","厳選検討（少数）","見送り")))</f>
        <v/>
      </c>
      <c r="L53" s="18"/>
    </row>
    <row r="54" customFormat="false" ht="15" hidden="false" customHeight="false" outlineLevel="0" collapsed="false">
      <c r="A54" s="16" t="str">
        <f aca="false">IF(B54="","",ROW()-12)</f>
        <v/>
      </c>
      <c r="B54" s="18"/>
      <c r="C54" s="18"/>
      <c r="D54" s="19"/>
      <c r="E54" s="19"/>
      <c r="F54" s="19"/>
      <c r="G54" s="20"/>
      <c r="H54" s="21" t="str">
        <f aca="false">IF(B54="","",F54-E54)</f>
        <v/>
      </c>
      <c r="I54" s="22" t="str">
        <f aca="false">IF(B54="","",IF(E54=0,"",H54/E54))</f>
        <v/>
      </c>
      <c r="J54" s="7" t="str">
        <f aca="false">IF(B54="","",IF(G54&lt;=設定!$C$6,IF(I54&gt;=設定!$C$7,"I(コア)","II(回転)"),IF(I54&gt;=設定!$C$7,"III(厳選)","IV(見送り)")))</f>
        <v/>
      </c>
      <c r="K54" s="7" t="str">
        <f aca="false">IF(B54="","",IF(OR(J54="I(コア)",J54="II(回転)"),"仕入れ候補",IF(J54="III(厳選)","厳選検討（少数）","見送り")))</f>
        <v/>
      </c>
      <c r="L54" s="18"/>
    </row>
    <row r="55" customFormat="false" ht="15" hidden="false" customHeight="false" outlineLevel="0" collapsed="false">
      <c r="A55" s="16" t="str">
        <f aca="false">IF(B55="","",ROW()-12)</f>
        <v/>
      </c>
      <c r="B55" s="18"/>
      <c r="C55" s="18"/>
      <c r="D55" s="19"/>
      <c r="E55" s="19"/>
      <c r="F55" s="19"/>
      <c r="G55" s="20"/>
      <c r="H55" s="21" t="str">
        <f aca="false">IF(B55="","",F55-E55)</f>
        <v/>
      </c>
      <c r="I55" s="22" t="str">
        <f aca="false">IF(B55="","",IF(E55=0,"",H55/E55))</f>
        <v/>
      </c>
      <c r="J55" s="7" t="str">
        <f aca="false">IF(B55="","",IF(G55&lt;=設定!$C$6,IF(I55&gt;=設定!$C$7,"I(コア)","II(回転)"),IF(I55&gt;=設定!$C$7,"III(厳選)","IV(見送り)")))</f>
        <v/>
      </c>
      <c r="K55" s="7" t="str">
        <f aca="false">IF(B55="","",IF(OR(J55="I(コア)",J55="II(回転)"),"仕入れ候補",IF(J55="III(厳選)","厳選検討（少数）","見送り")))</f>
        <v/>
      </c>
      <c r="L55" s="18"/>
    </row>
    <row r="56" customFormat="false" ht="15" hidden="false" customHeight="false" outlineLevel="0" collapsed="false">
      <c r="A56" s="16" t="str">
        <f aca="false">IF(B56="","",ROW()-12)</f>
        <v/>
      </c>
      <c r="B56" s="18"/>
      <c r="C56" s="18"/>
      <c r="D56" s="19"/>
      <c r="E56" s="19"/>
      <c r="F56" s="19"/>
      <c r="G56" s="20"/>
      <c r="H56" s="21" t="str">
        <f aca="false">IF(B56="","",F56-E56)</f>
        <v/>
      </c>
      <c r="I56" s="22" t="str">
        <f aca="false">IF(B56="","",IF(E56=0,"",H56/E56))</f>
        <v/>
      </c>
      <c r="J56" s="7" t="str">
        <f aca="false">IF(B56="","",IF(G56&lt;=設定!$C$6,IF(I56&gt;=設定!$C$7,"I(コア)","II(回転)"),IF(I56&gt;=設定!$C$7,"III(厳選)","IV(見送り)")))</f>
        <v/>
      </c>
      <c r="K56" s="7" t="str">
        <f aca="false">IF(B56="","",IF(OR(J56="I(コア)",J56="II(回転)"),"仕入れ候補",IF(J56="III(厳選)","厳選検討（少数）","見送り")))</f>
        <v/>
      </c>
      <c r="L56" s="18"/>
    </row>
    <row r="57" customFormat="false" ht="15" hidden="false" customHeight="false" outlineLevel="0" collapsed="false">
      <c r="A57" s="16" t="str">
        <f aca="false">IF(B57="","",ROW()-12)</f>
        <v/>
      </c>
      <c r="B57" s="18"/>
      <c r="C57" s="18"/>
      <c r="D57" s="19"/>
      <c r="E57" s="19"/>
      <c r="F57" s="19"/>
      <c r="G57" s="20"/>
      <c r="H57" s="21" t="str">
        <f aca="false">IF(B57="","",F57-E57)</f>
        <v/>
      </c>
      <c r="I57" s="22" t="str">
        <f aca="false">IF(B57="","",IF(E57=0,"",H57/E57))</f>
        <v/>
      </c>
      <c r="J57" s="7" t="str">
        <f aca="false">IF(B57="","",IF(G57&lt;=設定!$C$6,IF(I57&gt;=設定!$C$7,"I(コア)","II(回転)"),IF(I57&gt;=設定!$C$7,"III(厳選)","IV(見送り)")))</f>
        <v/>
      </c>
      <c r="K57" s="7" t="str">
        <f aca="false">IF(B57="","",IF(OR(J57="I(コア)",J57="II(回転)"),"仕入れ候補",IF(J57="III(厳選)","厳選検討（少数）","見送り")))</f>
        <v/>
      </c>
      <c r="L57" s="18"/>
    </row>
    <row r="58" customFormat="false" ht="15" hidden="false" customHeight="false" outlineLevel="0" collapsed="false">
      <c r="A58" s="16" t="str">
        <f aca="false">IF(B58="","",ROW()-12)</f>
        <v/>
      </c>
      <c r="B58" s="18"/>
      <c r="C58" s="18"/>
      <c r="D58" s="19"/>
      <c r="E58" s="19"/>
      <c r="F58" s="19"/>
      <c r="G58" s="20"/>
      <c r="H58" s="21" t="str">
        <f aca="false">IF(B58="","",F58-E58)</f>
        <v/>
      </c>
      <c r="I58" s="22" t="str">
        <f aca="false">IF(B58="","",IF(E58=0,"",H58/E58))</f>
        <v/>
      </c>
      <c r="J58" s="7" t="str">
        <f aca="false">IF(B58="","",IF(G58&lt;=設定!$C$6,IF(I58&gt;=設定!$C$7,"I(コア)","II(回転)"),IF(I58&gt;=設定!$C$7,"III(厳選)","IV(見送り)")))</f>
        <v/>
      </c>
      <c r="K58" s="7" t="str">
        <f aca="false">IF(B58="","",IF(OR(J58="I(コア)",J58="II(回転)"),"仕入れ候補",IF(J58="III(厳選)","厳選検討（少数）","見送り")))</f>
        <v/>
      </c>
      <c r="L58" s="18"/>
    </row>
    <row r="59" customFormat="false" ht="15" hidden="false" customHeight="false" outlineLevel="0" collapsed="false">
      <c r="A59" s="16" t="str">
        <f aca="false">IF(B59="","",ROW()-12)</f>
        <v/>
      </c>
      <c r="B59" s="18"/>
      <c r="C59" s="18"/>
      <c r="D59" s="19"/>
      <c r="E59" s="19"/>
      <c r="F59" s="19"/>
      <c r="G59" s="20"/>
      <c r="H59" s="21" t="str">
        <f aca="false">IF(B59="","",F59-E59)</f>
        <v/>
      </c>
      <c r="I59" s="22" t="str">
        <f aca="false">IF(B59="","",IF(E59=0,"",H59/E59))</f>
        <v/>
      </c>
      <c r="J59" s="7" t="str">
        <f aca="false">IF(B59="","",IF(G59&lt;=設定!$C$6,IF(I59&gt;=設定!$C$7,"I(コア)","II(回転)"),IF(I59&gt;=設定!$C$7,"III(厳選)","IV(見送り)")))</f>
        <v/>
      </c>
      <c r="K59" s="7" t="str">
        <f aca="false">IF(B59="","",IF(OR(J59="I(コア)",J59="II(回転)"),"仕入れ候補",IF(J59="III(厳選)","厳選検討（少数）","見送り")))</f>
        <v/>
      </c>
      <c r="L59" s="18"/>
    </row>
    <row r="60" customFormat="false" ht="15" hidden="false" customHeight="false" outlineLevel="0" collapsed="false">
      <c r="A60" s="16" t="str">
        <f aca="false">IF(B60="","",ROW()-12)</f>
        <v/>
      </c>
      <c r="B60" s="18"/>
      <c r="C60" s="18"/>
      <c r="D60" s="19"/>
      <c r="E60" s="19"/>
      <c r="F60" s="19"/>
      <c r="G60" s="20"/>
      <c r="H60" s="21" t="str">
        <f aca="false">IF(B60="","",F60-E60)</f>
        <v/>
      </c>
      <c r="I60" s="22" t="str">
        <f aca="false">IF(B60="","",IF(E60=0,"",H60/E60))</f>
        <v/>
      </c>
      <c r="J60" s="7" t="str">
        <f aca="false">IF(B60="","",IF(G60&lt;=設定!$C$6,IF(I60&gt;=設定!$C$7,"I(コア)","II(回転)"),IF(I60&gt;=設定!$C$7,"III(厳選)","IV(見送り)")))</f>
        <v/>
      </c>
      <c r="K60" s="7" t="str">
        <f aca="false">IF(B60="","",IF(OR(J60="I(コア)",J60="II(回転)"),"仕入れ候補",IF(J60="III(厳選)","厳選検討（少数）","見送り")))</f>
        <v/>
      </c>
      <c r="L60" s="18"/>
    </row>
    <row r="61" customFormat="false" ht="15" hidden="false" customHeight="false" outlineLevel="0" collapsed="false">
      <c r="A61" s="16" t="str">
        <f aca="false">IF(B61="","",ROW()-12)</f>
        <v/>
      </c>
      <c r="B61" s="18"/>
      <c r="C61" s="18"/>
      <c r="D61" s="19"/>
      <c r="E61" s="19"/>
      <c r="F61" s="19"/>
      <c r="G61" s="20"/>
      <c r="H61" s="21" t="str">
        <f aca="false">IF(B61="","",F61-E61)</f>
        <v/>
      </c>
      <c r="I61" s="22" t="str">
        <f aca="false">IF(B61="","",IF(E61=0,"",H61/E61))</f>
        <v/>
      </c>
      <c r="J61" s="7" t="str">
        <f aca="false">IF(B61="","",IF(G61&lt;=設定!$C$6,IF(I61&gt;=設定!$C$7,"I(コア)","II(回転)"),IF(I61&gt;=設定!$C$7,"III(厳選)","IV(見送り)")))</f>
        <v/>
      </c>
      <c r="K61" s="7" t="str">
        <f aca="false">IF(B61="","",IF(OR(J61="I(コア)",J61="II(回転)"),"仕入れ候補",IF(J61="III(厳選)","厳選検討（少数）","見送り")))</f>
        <v/>
      </c>
      <c r="L61" s="18"/>
    </row>
    <row r="62" customFormat="false" ht="15" hidden="false" customHeight="false" outlineLevel="0" collapsed="false">
      <c r="A62" s="16" t="str">
        <f aca="false">IF(B62="","",ROW()-12)</f>
        <v/>
      </c>
      <c r="B62" s="18"/>
      <c r="C62" s="18"/>
      <c r="D62" s="19"/>
      <c r="E62" s="19"/>
      <c r="F62" s="19"/>
      <c r="G62" s="20"/>
      <c r="H62" s="21" t="str">
        <f aca="false">IF(B62="","",F62-E62)</f>
        <v/>
      </c>
      <c r="I62" s="22" t="str">
        <f aca="false">IF(B62="","",IF(E62=0,"",H62/E62))</f>
        <v/>
      </c>
      <c r="J62" s="7" t="str">
        <f aca="false">IF(B62="","",IF(G62&lt;=設定!$C$6,IF(I62&gt;=設定!$C$7,"I(コア)","II(回転)"),IF(I62&gt;=設定!$C$7,"III(厳選)","IV(見送り)")))</f>
        <v/>
      </c>
      <c r="K62" s="7" t="str">
        <f aca="false">IF(B62="","",IF(OR(J62="I(コア)",J62="II(回転)"),"仕入れ候補",IF(J62="III(厳選)","厳選検討（少数）","見送り")))</f>
        <v/>
      </c>
      <c r="L62" s="18"/>
    </row>
    <row r="63" customFormat="false" ht="15" hidden="false" customHeight="false" outlineLevel="0" collapsed="false">
      <c r="A63" s="16" t="str">
        <f aca="false">IF(B63="","",ROW()-12)</f>
        <v/>
      </c>
      <c r="B63" s="18"/>
      <c r="C63" s="18"/>
      <c r="D63" s="19"/>
      <c r="E63" s="19"/>
      <c r="F63" s="19"/>
      <c r="G63" s="20"/>
      <c r="H63" s="21" t="str">
        <f aca="false">IF(B63="","",F63-E63)</f>
        <v/>
      </c>
      <c r="I63" s="22" t="str">
        <f aca="false">IF(B63="","",IF(E63=0,"",H63/E63))</f>
        <v/>
      </c>
      <c r="J63" s="7" t="str">
        <f aca="false">IF(B63="","",IF(G63&lt;=設定!$C$6,IF(I63&gt;=設定!$C$7,"I(コア)","II(回転)"),IF(I63&gt;=設定!$C$7,"III(厳選)","IV(見送り)")))</f>
        <v/>
      </c>
      <c r="K63" s="7" t="str">
        <f aca="false">IF(B63="","",IF(OR(J63="I(コア)",J63="II(回転)"),"仕入れ候補",IF(J63="III(厳選)","厳選検討（少数）","見送り")))</f>
        <v/>
      </c>
      <c r="L63" s="18"/>
    </row>
    <row r="64" customFormat="false" ht="15" hidden="false" customHeight="false" outlineLevel="0" collapsed="false">
      <c r="A64" s="16" t="str">
        <f aca="false">IF(B64="","",ROW()-12)</f>
        <v/>
      </c>
      <c r="B64" s="18"/>
      <c r="C64" s="18"/>
      <c r="D64" s="19"/>
      <c r="E64" s="19"/>
      <c r="F64" s="19"/>
      <c r="G64" s="20"/>
      <c r="H64" s="21" t="str">
        <f aca="false">IF(B64="","",F64-E64)</f>
        <v/>
      </c>
      <c r="I64" s="22" t="str">
        <f aca="false">IF(B64="","",IF(E64=0,"",H64/E64))</f>
        <v/>
      </c>
      <c r="J64" s="7" t="str">
        <f aca="false">IF(B64="","",IF(G64&lt;=設定!$C$6,IF(I64&gt;=設定!$C$7,"I(コア)","II(回転)"),IF(I64&gt;=設定!$C$7,"III(厳選)","IV(見送り)")))</f>
        <v/>
      </c>
      <c r="K64" s="7" t="str">
        <f aca="false">IF(B64="","",IF(OR(J64="I(コア)",J64="II(回転)"),"仕入れ候補",IF(J64="III(厳選)","厳選検討（少数）","見送り")))</f>
        <v/>
      </c>
      <c r="L64" s="18"/>
    </row>
    <row r="65" customFormat="false" ht="15" hidden="false" customHeight="false" outlineLevel="0" collapsed="false">
      <c r="A65" s="16" t="str">
        <f aca="false">IF(B65="","",ROW()-12)</f>
        <v/>
      </c>
      <c r="B65" s="18"/>
      <c r="C65" s="18"/>
      <c r="D65" s="19"/>
      <c r="E65" s="19"/>
      <c r="F65" s="19"/>
      <c r="G65" s="20"/>
      <c r="H65" s="21" t="str">
        <f aca="false">IF(B65="","",F65-E65)</f>
        <v/>
      </c>
      <c r="I65" s="22" t="str">
        <f aca="false">IF(B65="","",IF(E65=0,"",H65/E65))</f>
        <v/>
      </c>
      <c r="J65" s="7" t="str">
        <f aca="false">IF(B65="","",IF(G65&lt;=設定!$C$6,IF(I65&gt;=設定!$C$7,"I(コア)","II(回転)"),IF(I65&gt;=設定!$C$7,"III(厳選)","IV(見送り)")))</f>
        <v/>
      </c>
      <c r="K65" s="7" t="str">
        <f aca="false">IF(B65="","",IF(OR(J65="I(コア)",J65="II(回転)"),"仕入れ候補",IF(J65="III(厳選)","厳選検討（少数）","見送り")))</f>
        <v/>
      </c>
      <c r="L65" s="18"/>
    </row>
    <row r="66" customFormat="false" ht="15" hidden="false" customHeight="false" outlineLevel="0" collapsed="false">
      <c r="A66" s="16" t="str">
        <f aca="false">IF(B66="","",ROW()-12)</f>
        <v/>
      </c>
      <c r="B66" s="18"/>
      <c r="C66" s="18"/>
      <c r="D66" s="19"/>
      <c r="E66" s="19"/>
      <c r="F66" s="19"/>
      <c r="G66" s="20"/>
      <c r="H66" s="21" t="str">
        <f aca="false">IF(B66="","",F66-E66)</f>
        <v/>
      </c>
      <c r="I66" s="22" t="str">
        <f aca="false">IF(B66="","",IF(E66=0,"",H66/E66))</f>
        <v/>
      </c>
      <c r="J66" s="7" t="str">
        <f aca="false">IF(B66="","",IF(G66&lt;=設定!$C$6,IF(I66&gt;=設定!$C$7,"I(コア)","II(回転)"),IF(I66&gt;=設定!$C$7,"III(厳選)","IV(見送り)")))</f>
        <v/>
      </c>
      <c r="K66" s="7" t="str">
        <f aca="false">IF(B66="","",IF(OR(J66="I(コア)",J66="II(回転)"),"仕入れ候補",IF(J66="III(厳選)","厳選検討（少数）","見送り")))</f>
        <v/>
      </c>
      <c r="L66" s="18"/>
    </row>
    <row r="67" customFormat="false" ht="15" hidden="false" customHeight="false" outlineLevel="0" collapsed="false">
      <c r="A67" s="16" t="str">
        <f aca="false">IF(B67="","",ROW()-12)</f>
        <v/>
      </c>
      <c r="B67" s="18"/>
      <c r="C67" s="18"/>
      <c r="D67" s="19"/>
      <c r="E67" s="19"/>
      <c r="F67" s="19"/>
      <c r="G67" s="20"/>
      <c r="H67" s="21" t="str">
        <f aca="false">IF(B67="","",F67-E67)</f>
        <v/>
      </c>
      <c r="I67" s="22" t="str">
        <f aca="false">IF(B67="","",IF(E67=0,"",H67/E67))</f>
        <v/>
      </c>
      <c r="J67" s="7" t="str">
        <f aca="false">IF(B67="","",IF(G67&lt;=設定!$C$6,IF(I67&gt;=設定!$C$7,"I(コア)","II(回転)"),IF(I67&gt;=設定!$C$7,"III(厳選)","IV(見送り)")))</f>
        <v/>
      </c>
      <c r="K67" s="7" t="str">
        <f aca="false">IF(B67="","",IF(OR(J67="I(コア)",J67="II(回転)"),"仕入れ候補",IF(J67="III(厳選)","厳選検討（少数）","見送り")))</f>
        <v/>
      </c>
      <c r="L67" s="18"/>
    </row>
    <row r="68" customFormat="false" ht="15" hidden="false" customHeight="false" outlineLevel="0" collapsed="false">
      <c r="A68" s="16" t="str">
        <f aca="false">IF(B68="","",ROW()-12)</f>
        <v/>
      </c>
      <c r="B68" s="18"/>
      <c r="C68" s="18"/>
      <c r="D68" s="19"/>
      <c r="E68" s="19"/>
      <c r="F68" s="19"/>
      <c r="G68" s="20"/>
      <c r="H68" s="21" t="str">
        <f aca="false">IF(B68="","",F68-E68)</f>
        <v/>
      </c>
      <c r="I68" s="22" t="str">
        <f aca="false">IF(B68="","",IF(E68=0,"",H68/E68))</f>
        <v/>
      </c>
      <c r="J68" s="7" t="str">
        <f aca="false">IF(B68="","",IF(G68&lt;=設定!$C$6,IF(I68&gt;=設定!$C$7,"I(コア)","II(回転)"),IF(I68&gt;=設定!$C$7,"III(厳選)","IV(見送り)")))</f>
        <v/>
      </c>
      <c r="K68" s="7" t="str">
        <f aca="false">IF(B68="","",IF(OR(J68="I(コア)",J68="II(回転)"),"仕入れ候補",IF(J68="III(厳選)","厳選検討（少数）","見送り")))</f>
        <v/>
      </c>
      <c r="L68" s="18"/>
    </row>
    <row r="69" customFormat="false" ht="15" hidden="false" customHeight="false" outlineLevel="0" collapsed="false">
      <c r="A69" s="16" t="str">
        <f aca="false">IF(B69="","",ROW()-12)</f>
        <v/>
      </c>
      <c r="B69" s="18"/>
      <c r="C69" s="18"/>
      <c r="D69" s="19"/>
      <c r="E69" s="19"/>
      <c r="F69" s="19"/>
      <c r="G69" s="20"/>
      <c r="H69" s="21" t="str">
        <f aca="false">IF(B69="","",F69-E69)</f>
        <v/>
      </c>
      <c r="I69" s="22" t="str">
        <f aca="false">IF(B69="","",IF(E69=0,"",H69/E69))</f>
        <v/>
      </c>
      <c r="J69" s="7" t="str">
        <f aca="false">IF(B69="","",IF(G69&lt;=設定!$C$6,IF(I69&gt;=設定!$C$7,"I(コア)","II(回転)"),IF(I69&gt;=設定!$C$7,"III(厳選)","IV(見送り)")))</f>
        <v/>
      </c>
      <c r="K69" s="7" t="str">
        <f aca="false">IF(B69="","",IF(OR(J69="I(コア)",J69="II(回転)"),"仕入れ候補",IF(J69="III(厳選)","厳選検討（少数）","見送り")))</f>
        <v/>
      </c>
      <c r="L69" s="18"/>
    </row>
    <row r="70" customFormat="false" ht="15" hidden="false" customHeight="false" outlineLevel="0" collapsed="false">
      <c r="A70" s="16" t="str">
        <f aca="false">IF(B70="","",ROW()-12)</f>
        <v/>
      </c>
      <c r="B70" s="18"/>
      <c r="C70" s="18"/>
      <c r="D70" s="19"/>
      <c r="E70" s="19"/>
      <c r="F70" s="19"/>
      <c r="G70" s="20"/>
      <c r="H70" s="21" t="str">
        <f aca="false">IF(B70="","",F70-E70)</f>
        <v/>
      </c>
      <c r="I70" s="22" t="str">
        <f aca="false">IF(B70="","",IF(E70=0,"",H70/E70))</f>
        <v/>
      </c>
      <c r="J70" s="7" t="str">
        <f aca="false">IF(B70="","",IF(G70&lt;=設定!$C$6,IF(I70&gt;=設定!$C$7,"I(コア)","II(回転)"),IF(I70&gt;=設定!$C$7,"III(厳選)","IV(見送り)")))</f>
        <v/>
      </c>
      <c r="K70" s="7" t="str">
        <f aca="false">IF(B70="","",IF(OR(J70="I(コア)",J70="II(回転)"),"仕入れ候補",IF(J70="III(厳選)","厳選検討（少数）","見送り")))</f>
        <v/>
      </c>
      <c r="L70" s="18"/>
    </row>
    <row r="71" customFormat="false" ht="15" hidden="false" customHeight="false" outlineLevel="0" collapsed="false">
      <c r="A71" s="16" t="str">
        <f aca="false">IF(B71="","",ROW()-12)</f>
        <v/>
      </c>
      <c r="B71" s="18"/>
      <c r="C71" s="18"/>
      <c r="D71" s="19"/>
      <c r="E71" s="19"/>
      <c r="F71" s="19"/>
      <c r="G71" s="20"/>
      <c r="H71" s="21" t="str">
        <f aca="false">IF(B71="","",F71-E71)</f>
        <v/>
      </c>
      <c r="I71" s="22" t="str">
        <f aca="false">IF(B71="","",IF(E71=0,"",H71/E71))</f>
        <v/>
      </c>
      <c r="J71" s="7" t="str">
        <f aca="false">IF(B71="","",IF(G71&lt;=設定!$C$6,IF(I71&gt;=設定!$C$7,"I(コア)","II(回転)"),IF(I71&gt;=設定!$C$7,"III(厳選)","IV(見送り)")))</f>
        <v/>
      </c>
      <c r="K71" s="7" t="str">
        <f aca="false">IF(B71="","",IF(OR(J71="I(コア)",J71="II(回転)"),"仕入れ候補",IF(J71="III(厳選)","厳選検討（少数）","見送り")))</f>
        <v/>
      </c>
      <c r="L71" s="18"/>
    </row>
    <row r="72" customFormat="false" ht="15" hidden="false" customHeight="false" outlineLevel="0" collapsed="false">
      <c r="A72" s="16" t="str">
        <f aca="false">IF(B72="","",ROW()-12)</f>
        <v/>
      </c>
      <c r="B72" s="18"/>
      <c r="C72" s="18"/>
      <c r="D72" s="19"/>
      <c r="E72" s="19"/>
      <c r="F72" s="19"/>
      <c r="G72" s="20"/>
      <c r="H72" s="21" t="str">
        <f aca="false">IF(B72="","",F72-E72)</f>
        <v/>
      </c>
      <c r="I72" s="22" t="str">
        <f aca="false">IF(B72="","",IF(E72=0,"",H72/E72))</f>
        <v/>
      </c>
      <c r="J72" s="7" t="str">
        <f aca="false">IF(B72="","",IF(G72&lt;=設定!$C$6,IF(I72&gt;=設定!$C$7,"I(コア)","II(回転)"),IF(I72&gt;=設定!$C$7,"III(厳選)","IV(見送り)")))</f>
        <v/>
      </c>
      <c r="K72" s="7" t="str">
        <f aca="false">IF(B72="","",IF(OR(J72="I(コア)",J72="II(回転)"),"仕入れ候補",IF(J72="III(厳選)","厳選検討（少数）","見送り")))</f>
        <v/>
      </c>
      <c r="L72" s="18"/>
    </row>
    <row r="73" customFormat="false" ht="15" hidden="false" customHeight="false" outlineLevel="0" collapsed="false">
      <c r="A73" s="16" t="str">
        <f aca="false">IF(B73="","",ROW()-12)</f>
        <v/>
      </c>
      <c r="B73" s="18"/>
      <c r="C73" s="18"/>
      <c r="D73" s="19"/>
      <c r="E73" s="19"/>
      <c r="F73" s="19"/>
      <c r="G73" s="20"/>
      <c r="H73" s="21" t="str">
        <f aca="false">IF(B73="","",F73-E73)</f>
        <v/>
      </c>
      <c r="I73" s="22" t="str">
        <f aca="false">IF(B73="","",IF(E73=0,"",H73/E73))</f>
        <v/>
      </c>
      <c r="J73" s="7" t="str">
        <f aca="false">IF(B73="","",IF(G73&lt;=設定!$C$6,IF(I73&gt;=設定!$C$7,"I(コア)","II(回転)"),IF(I73&gt;=設定!$C$7,"III(厳選)","IV(見送り)")))</f>
        <v/>
      </c>
      <c r="K73" s="7" t="str">
        <f aca="false">IF(B73="","",IF(OR(J73="I(コア)",J73="II(回転)"),"仕入れ候補",IF(J73="III(厳選)","厳選検討（少数）","見送り")))</f>
        <v/>
      </c>
      <c r="L73" s="18"/>
    </row>
    <row r="74" customFormat="false" ht="15" hidden="false" customHeight="false" outlineLevel="0" collapsed="false">
      <c r="A74" s="16" t="str">
        <f aca="false">IF(B74="","",ROW()-12)</f>
        <v/>
      </c>
      <c r="B74" s="18"/>
      <c r="C74" s="18"/>
      <c r="D74" s="19"/>
      <c r="E74" s="19"/>
      <c r="F74" s="19"/>
      <c r="G74" s="20"/>
      <c r="H74" s="21" t="str">
        <f aca="false">IF(B74="","",F74-E74)</f>
        <v/>
      </c>
      <c r="I74" s="22" t="str">
        <f aca="false">IF(B74="","",IF(E74=0,"",H74/E74))</f>
        <v/>
      </c>
      <c r="J74" s="7" t="str">
        <f aca="false">IF(B74="","",IF(G74&lt;=設定!$C$6,IF(I74&gt;=設定!$C$7,"I(コア)","II(回転)"),IF(I74&gt;=設定!$C$7,"III(厳選)","IV(見送り)")))</f>
        <v/>
      </c>
      <c r="K74" s="7" t="str">
        <f aca="false">IF(B74="","",IF(OR(J74="I(コア)",J74="II(回転)"),"仕入れ候補",IF(J74="III(厳選)","厳選検討（少数）","見送り")))</f>
        <v/>
      </c>
      <c r="L74" s="18"/>
    </row>
    <row r="75" customFormat="false" ht="15" hidden="false" customHeight="false" outlineLevel="0" collapsed="false">
      <c r="A75" s="16" t="str">
        <f aca="false">IF(B75="","",ROW()-12)</f>
        <v/>
      </c>
      <c r="B75" s="18"/>
      <c r="C75" s="18"/>
      <c r="D75" s="19"/>
      <c r="E75" s="19"/>
      <c r="F75" s="19"/>
      <c r="G75" s="20"/>
      <c r="H75" s="21" t="str">
        <f aca="false">IF(B75="","",F75-E75)</f>
        <v/>
      </c>
      <c r="I75" s="22" t="str">
        <f aca="false">IF(B75="","",IF(E75=0,"",H75/E75))</f>
        <v/>
      </c>
      <c r="J75" s="7" t="str">
        <f aca="false">IF(B75="","",IF(G75&lt;=設定!$C$6,IF(I75&gt;=設定!$C$7,"I(コア)","II(回転)"),IF(I75&gt;=設定!$C$7,"III(厳選)","IV(見送り)")))</f>
        <v/>
      </c>
      <c r="K75" s="7" t="str">
        <f aca="false">IF(B75="","",IF(OR(J75="I(コア)",J75="II(回転)"),"仕入れ候補",IF(J75="III(厳選)","厳選検討（少数）","見送り")))</f>
        <v/>
      </c>
      <c r="L75" s="18"/>
    </row>
    <row r="76" customFormat="false" ht="15" hidden="false" customHeight="false" outlineLevel="0" collapsed="false">
      <c r="A76" s="16" t="str">
        <f aca="false">IF(B76="","",ROW()-12)</f>
        <v/>
      </c>
      <c r="B76" s="18"/>
      <c r="C76" s="18"/>
      <c r="D76" s="19"/>
      <c r="E76" s="19"/>
      <c r="F76" s="19"/>
      <c r="G76" s="20"/>
      <c r="H76" s="21" t="str">
        <f aca="false">IF(B76="","",F76-E76)</f>
        <v/>
      </c>
      <c r="I76" s="22" t="str">
        <f aca="false">IF(B76="","",IF(E76=0,"",H76/E76))</f>
        <v/>
      </c>
      <c r="J76" s="7" t="str">
        <f aca="false">IF(B76="","",IF(G76&lt;=設定!$C$6,IF(I76&gt;=設定!$C$7,"I(コア)","II(回転)"),IF(I76&gt;=設定!$C$7,"III(厳選)","IV(見送り)")))</f>
        <v/>
      </c>
      <c r="K76" s="7" t="str">
        <f aca="false">IF(B76="","",IF(OR(J76="I(コア)",J76="II(回転)"),"仕入れ候補",IF(J76="III(厳選)","厳選検討（少数）","見送り")))</f>
        <v/>
      </c>
      <c r="L76" s="18"/>
    </row>
    <row r="77" customFormat="false" ht="15" hidden="false" customHeight="false" outlineLevel="0" collapsed="false">
      <c r="A77" s="16" t="str">
        <f aca="false">IF(B77="","",ROW()-12)</f>
        <v/>
      </c>
      <c r="B77" s="18"/>
      <c r="C77" s="18"/>
      <c r="D77" s="19"/>
      <c r="E77" s="19"/>
      <c r="F77" s="19"/>
      <c r="G77" s="20"/>
      <c r="H77" s="21" t="str">
        <f aca="false">IF(B77="","",F77-E77)</f>
        <v/>
      </c>
      <c r="I77" s="22" t="str">
        <f aca="false">IF(B77="","",IF(E77=0,"",H77/E77))</f>
        <v/>
      </c>
      <c r="J77" s="7" t="str">
        <f aca="false">IF(B77="","",IF(G77&lt;=設定!$C$6,IF(I77&gt;=設定!$C$7,"I(コア)","II(回転)"),IF(I77&gt;=設定!$C$7,"III(厳選)","IV(見送り)")))</f>
        <v/>
      </c>
      <c r="K77" s="7" t="str">
        <f aca="false">IF(B77="","",IF(OR(J77="I(コア)",J77="II(回転)"),"仕入れ候補",IF(J77="III(厳選)","厳選検討（少数）","見送り")))</f>
        <v/>
      </c>
      <c r="L77" s="18"/>
    </row>
    <row r="78" customFormat="false" ht="15" hidden="false" customHeight="false" outlineLevel="0" collapsed="false">
      <c r="A78" s="16" t="str">
        <f aca="false">IF(B78="","",ROW()-12)</f>
        <v/>
      </c>
      <c r="B78" s="18"/>
      <c r="C78" s="18"/>
      <c r="D78" s="19"/>
      <c r="E78" s="19"/>
      <c r="F78" s="19"/>
      <c r="G78" s="20"/>
      <c r="H78" s="21" t="str">
        <f aca="false">IF(B78="","",F78-E78)</f>
        <v/>
      </c>
      <c r="I78" s="22" t="str">
        <f aca="false">IF(B78="","",IF(E78=0,"",H78/E78))</f>
        <v/>
      </c>
      <c r="J78" s="7" t="str">
        <f aca="false">IF(B78="","",IF(G78&lt;=設定!$C$6,IF(I78&gt;=設定!$C$7,"I(コア)","II(回転)"),IF(I78&gt;=設定!$C$7,"III(厳選)","IV(見送り)")))</f>
        <v/>
      </c>
      <c r="K78" s="7" t="str">
        <f aca="false">IF(B78="","",IF(OR(J78="I(コア)",J78="II(回転)"),"仕入れ候補",IF(J78="III(厳選)","厳選検討（少数）","見送り")))</f>
        <v/>
      </c>
      <c r="L78" s="18"/>
    </row>
    <row r="79" customFormat="false" ht="15" hidden="false" customHeight="false" outlineLevel="0" collapsed="false">
      <c r="A79" s="16" t="str">
        <f aca="false">IF(B79="","",ROW()-12)</f>
        <v/>
      </c>
      <c r="B79" s="18"/>
      <c r="C79" s="18"/>
      <c r="D79" s="19"/>
      <c r="E79" s="19"/>
      <c r="F79" s="19"/>
      <c r="G79" s="20"/>
      <c r="H79" s="21" t="str">
        <f aca="false">IF(B79="","",F79-E79)</f>
        <v/>
      </c>
      <c r="I79" s="22" t="str">
        <f aca="false">IF(B79="","",IF(E79=0,"",H79/E79))</f>
        <v/>
      </c>
      <c r="J79" s="7" t="str">
        <f aca="false">IF(B79="","",IF(G79&lt;=設定!$C$6,IF(I79&gt;=設定!$C$7,"I(コア)","II(回転)"),IF(I79&gt;=設定!$C$7,"III(厳選)","IV(見送り)")))</f>
        <v/>
      </c>
      <c r="K79" s="7" t="str">
        <f aca="false">IF(B79="","",IF(OR(J79="I(コア)",J79="II(回転)"),"仕入れ候補",IF(J79="III(厳選)","厳選検討（少数）","見送り")))</f>
        <v/>
      </c>
      <c r="L79" s="18"/>
    </row>
    <row r="80" customFormat="false" ht="15" hidden="false" customHeight="false" outlineLevel="0" collapsed="false">
      <c r="A80" s="16" t="str">
        <f aca="false">IF(B80="","",ROW()-12)</f>
        <v/>
      </c>
      <c r="B80" s="18"/>
      <c r="C80" s="18"/>
      <c r="D80" s="19"/>
      <c r="E80" s="19"/>
      <c r="F80" s="19"/>
      <c r="G80" s="20"/>
      <c r="H80" s="21" t="str">
        <f aca="false">IF(B80="","",F80-E80)</f>
        <v/>
      </c>
      <c r="I80" s="22" t="str">
        <f aca="false">IF(B80="","",IF(E80=0,"",H80/E80))</f>
        <v/>
      </c>
      <c r="J80" s="7" t="str">
        <f aca="false">IF(B80="","",IF(G80&lt;=設定!$C$6,IF(I80&gt;=設定!$C$7,"I(コア)","II(回転)"),IF(I80&gt;=設定!$C$7,"III(厳選)","IV(見送り)")))</f>
        <v/>
      </c>
      <c r="K80" s="7" t="str">
        <f aca="false">IF(B80="","",IF(OR(J80="I(コア)",J80="II(回転)"),"仕入れ候補",IF(J80="III(厳選)","厳選検討（少数）","見送り")))</f>
        <v/>
      </c>
      <c r="L80" s="18"/>
    </row>
    <row r="81" customFormat="false" ht="15" hidden="false" customHeight="false" outlineLevel="0" collapsed="false">
      <c r="A81" s="16" t="str">
        <f aca="false">IF(B81="","",ROW()-12)</f>
        <v/>
      </c>
      <c r="B81" s="18"/>
      <c r="C81" s="18"/>
      <c r="D81" s="19"/>
      <c r="E81" s="19"/>
      <c r="F81" s="19"/>
      <c r="G81" s="20"/>
      <c r="H81" s="21" t="str">
        <f aca="false">IF(B81="","",F81-E81)</f>
        <v/>
      </c>
      <c r="I81" s="22" t="str">
        <f aca="false">IF(B81="","",IF(E81=0,"",H81/E81))</f>
        <v/>
      </c>
      <c r="J81" s="7" t="str">
        <f aca="false">IF(B81="","",IF(G81&lt;=設定!$C$6,IF(I81&gt;=設定!$C$7,"I(コア)","II(回転)"),IF(I81&gt;=設定!$C$7,"III(厳選)","IV(見送り)")))</f>
        <v/>
      </c>
      <c r="K81" s="7" t="str">
        <f aca="false">IF(B81="","",IF(OR(J81="I(コア)",J81="II(回転)"),"仕入れ候補",IF(J81="III(厳選)","厳選検討（少数）","見送り")))</f>
        <v/>
      </c>
      <c r="L81" s="18"/>
    </row>
    <row r="82" customFormat="false" ht="15" hidden="false" customHeight="false" outlineLevel="0" collapsed="false">
      <c r="A82" s="16" t="str">
        <f aca="false">IF(B82="","",ROW()-12)</f>
        <v/>
      </c>
      <c r="B82" s="18"/>
      <c r="C82" s="18"/>
      <c r="D82" s="19"/>
      <c r="E82" s="19"/>
      <c r="F82" s="19"/>
      <c r="G82" s="20"/>
      <c r="H82" s="21" t="str">
        <f aca="false">IF(B82="","",F82-E82)</f>
        <v/>
      </c>
      <c r="I82" s="22" t="str">
        <f aca="false">IF(B82="","",IF(E82=0,"",H82/E82))</f>
        <v/>
      </c>
      <c r="J82" s="7" t="str">
        <f aca="false">IF(B82="","",IF(G82&lt;=設定!$C$6,IF(I82&gt;=設定!$C$7,"I(コア)","II(回転)"),IF(I82&gt;=設定!$C$7,"III(厳選)","IV(見送り)")))</f>
        <v/>
      </c>
      <c r="K82" s="7" t="str">
        <f aca="false">IF(B82="","",IF(OR(J82="I(コア)",J82="II(回転)"),"仕入れ候補",IF(J82="III(厳選)","厳選検討（少数）","見送り")))</f>
        <v/>
      </c>
      <c r="L82" s="18"/>
    </row>
    <row r="83" customFormat="false" ht="15" hidden="false" customHeight="false" outlineLevel="0" collapsed="false">
      <c r="A83" s="16" t="str">
        <f aca="false">IF(B83="","",ROW()-12)</f>
        <v/>
      </c>
      <c r="B83" s="18"/>
      <c r="C83" s="18"/>
      <c r="D83" s="19"/>
      <c r="E83" s="19"/>
      <c r="F83" s="19"/>
      <c r="G83" s="20"/>
      <c r="H83" s="21" t="str">
        <f aca="false">IF(B83="","",F83-E83)</f>
        <v/>
      </c>
      <c r="I83" s="22" t="str">
        <f aca="false">IF(B83="","",IF(E83=0,"",H83/E83))</f>
        <v/>
      </c>
      <c r="J83" s="7" t="str">
        <f aca="false">IF(B83="","",IF(G83&lt;=設定!$C$6,IF(I83&gt;=設定!$C$7,"I(コア)","II(回転)"),IF(I83&gt;=設定!$C$7,"III(厳選)","IV(見送り)")))</f>
        <v/>
      </c>
      <c r="K83" s="7" t="str">
        <f aca="false">IF(B83="","",IF(OR(J83="I(コア)",J83="II(回転)"),"仕入れ候補",IF(J83="III(厳選)","厳選検討（少数）","見送り")))</f>
        <v/>
      </c>
      <c r="L83" s="18"/>
    </row>
    <row r="84" customFormat="false" ht="15" hidden="false" customHeight="false" outlineLevel="0" collapsed="false">
      <c r="A84" s="16" t="str">
        <f aca="false">IF(B84="","",ROW()-12)</f>
        <v/>
      </c>
      <c r="B84" s="18"/>
      <c r="C84" s="18"/>
      <c r="D84" s="19"/>
      <c r="E84" s="19"/>
      <c r="F84" s="19"/>
      <c r="G84" s="20"/>
      <c r="H84" s="21" t="str">
        <f aca="false">IF(B84="","",F84-E84)</f>
        <v/>
      </c>
      <c r="I84" s="22" t="str">
        <f aca="false">IF(B84="","",IF(E84=0,"",H84/E84))</f>
        <v/>
      </c>
      <c r="J84" s="7" t="str">
        <f aca="false">IF(B84="","",IF(G84&lt;=設定!$C$6,IF(I84&gt;=設定!$C$7,"I(コア)","II(回転)"),IF(I84&gt;=設定!$C$7,"III(厳選)","IV(見送り)")))</f>
        <v/>
      </c>
      <c r="K84" s="7" t="str">
        <f aca="false">IF(B84="","",IF(OR(J84="I(コア)",J84="II(回転)"),"仕入れ候補",IF(J84="III(厳選)","厳選検討（少数）","見送り")))</f>
        <v/>
      </c>
      <c r="L84" s="18"/>
    </row>
    <row r="85" customFormat="false" ht="15" hidden="false" customHeight="false" outlineLevel="0" collapsed="false">
      <c r="A85" s="16" t="str">
        <f aca="false">IF(B85="","",ROW()-12)</f>
        <v/>
      </c>
      <c r="B85" s="18"/>
      <c r="C85" s="18"/>
      <c r="D85" s="19"/>
      <c r="E85" s="19"/>
      <c r="F85" s="19"/>
      <c r="G85" s="20"/>
      <c r="H85" s="21" t="str">
        <f aca="false">IF(B85="","",F85-E85)</f>
        <v/>
      </c>
      <c r="I85" s="22" t="str">
        <f aca="false">IF(B85="","",IF(E85=0,"",H85/E85))</f>
        <v/>
      </c>
      <c r="J85" s="7" t="str">
        <f aca="false">IF(B85="","",IF(G85&lt;=設定!$C$6,IF(I85&gt;=設定!$C$7,"I(コア)","II(回転)"),IF(I85&gt;=設定!$C$7,"III(厳選)","IV(見送り)")))</f>
        <v/>
      </c>
      <c r="K85" s="7" t="str">
        <f aca="false">IF(B85="","",IF(OR(J85="I(コア)",J85="II(回転)"),"仕入れ候補",IF(J85="III(厳選)","厳選検討（少数）","見送り")))</f>
        <v/>
      </c>
      <c r="L85" s="18"/>
    </row>
    <row r="86" customFormat="false" ht="15" hidden="false" customHeight="false" outlineLevel="0" collapsed="false">
      <c r="A86" s="16" t="str">
        <f aca="false">IF(B86="","",ROW()-12)</f>
        <v/>
      </c>
      <c r="B86" s="18"/>
      <c r="C86" s="18"/>
      <c r="D86" s="19"/>
      <c r="E86" s="19"/>
      <c r="F86" s="19"/>
      <c r="G86" s="20"/>
      <c r="H86" s="21" t="str">
        <f aca="false">IF(B86="","",F86-E86)</f>
        <v/>
      </c>
      <c r="I86" s="22" t="str">
        <f aca="false">IF(B86="","",IF(E86=0,"",H86/E86))</f>
        <v/>
      </c>
      <c r="J86" s="7" t="str">
        <f aca="false">IF(B86="","",IF(G86&lt;=設定!$C$6,IF(I86&gt;=設定!$C$7,"I(コア)","II(回転)"),IF(I86&gt;=設定!$C$7,"III(厳選)","IV(見送り)")))</f>
        <v/>
      </c>
      <c r="K86" s="7" t="str">
        <f aca="false">IF(B86="","",IF(OR(J86="I(コア)",J86="II(回転)"),"仕入れ候補",IF(J86="III(厳選)","厳選検討（少数）","見送り")))</f>
        <v/>
      </c>
      <c r="L86" s="18"/>
    </row>
    <row r="87" customFormat="false" ht="15" hidden="false" customHeight="false" outlineLevel="0" collapsed="false">
      <c r="A87" s="16" t="str">
        <f aca="false">IF(B87="","",ROW()-12)</f>
        <v/>
      </c>
      <c r="B87" s="18"/>
      <c r="C87" s="18"/>
      <c r="D87" s="19"/>
      <c r="E87" s="19"/>
      <c r="F87" s="19"/>
      <c r="G87" s="20"/>
      <c r="H87" s="21" t="str">
        <f aca="false">IF(B87="","",F87-E87)</f>
        <v/>
      </c>
      <c r="I87" s="22" t="str">
        <f aca="false">IF(B87="","",IF(E87=0,"",H87/E87))</f>
        <v/>
      </c>
      <c r="J87" s="7" t="str">
        <f aca="false">IF(B87="","",IF(G87&lt;=設定!$C$6,IF(I87&gt;=設定!$C$7,"I(コア)","II(回転)"),IF(I87&gt;=設定!$C$7,"III(厳選)","IV(見送り)")))</f>
        <v/>
      </c>
      <c r="K87" s="7" t="str">
        <f aca="false">IF(B87="","",IF(OR(J87="I(コア)",J87="II(回転)"),"仕入れ候補",IF(J87="III(厳選)","厳選検討（少数）","見送り")))</f>
        <v/>
      </c>
      <c r="L87" s="18"/>
    </row>
    <row r="88" customFormat="false" ht="15" hidden="false" customHeight="false" outlineLevel="0" collapsed="false">
      <c r="A88" s="16" t="str">
        <f aca="false">IF(B88="","",ROW()-12)</f>
        <v/>
      </c>
      <c r="B88" s="18"/>
      <c r="C88" s="18"/>
      <c r="D88" s="19"/>
      <c r="E88" s="19"/>
      <c r="F88" s="19"/>
      <c r="G88" s="20"/>
      <c r="H88" s="21" t="str">
        <f aca="false">IF(B88="","",F88-E88)</f>
        <v/>
      </c>
      <c r="I88" s="22" t="str">
        <f aca="false">IF(B88="","",IF(E88=0,"",H88/E88))</f>
        <v/>
      </c>
      <c r="J88" s="7" t="str">
        <f aca="false">IF(B88="","",IF(G88&lt;=設定!$C$6,IF(I88&gt;=設定!$C$7,"I(コア)","II(回転)"),IF(I88&gt;=設定!$C$7,"III(厳選)","IV(見送り)")))</f>
        <v/>
      </c>
      <c r="K88" s="7" t="str">
        <f aca="false">IF(B88="","",IF(OR(J88="I(コア)",J88="II(回転)"),"仕入れ候補",IF(J88="III(厳選)","厳選検討（少数）","見送り")))</f>
        <v/>
      </c>
      <c r="L88" s="18"/>
    </row>
    <row r="89" customFormat="false" ht="15" hidden="false" customHeight="false" outlineLevel="0" collapsed="false">
      <c r="A89" s="16" t="str">
        <f aca="false">IF(B89="","",ROW()-12)</f>
        <v/>
      </c>
      <c r="B89" s="18"/>
      <c r="C89" s="18"/>
      <c r="D89" s="19"/>
      <c r="E89" s="19"/>
      <c r="F89" s="19"/>
      <c r="G89" s="20"/>
      <c r="H89" s="21" t="str">
        <f aca="false">IF(B89="","",F89-E89)</f>
        <v/>
      </c>
      <c r="I89" s="22" t="str">
        <f aca="false">IF(B89="","",IF(E89=0,"",H89/E89))</f>
        <v/>
      </c>
      <c r="J89" s="7" t="str">
        <f aca="false">IF(B89="","",IF(G89&lt;=設定!$C$6,IF(I89&gt;=設定!$C$7,"I(コア)","II(回転)"),IF(I89&gt;=設定!$C$7,"III(厳選)","IV(見送り)")))</f>
        <v/>
      </c>
      <c r="K89" s="7" t="str">
        <f aca="false">IF(B89="","",IF(OR(J89="I(コア)",J89="II(回転)"),"仕入れ候補",IF(J89="III(厳選)","厳選検討（少数）","見送り")))</f>
        <v/>
      </c>
      <c r="L89" s="18"/>
    </row>
    <row r="90" customFormat="false" ht="15" hidden="false" customHeight="false" outlineLevel="0" collapsed="false">
      <c r="A90" s="16" t="str">
        <f aca="false">IF(B90="","",ROW()-12)</f>
        <v/>
      </c>
      <c r="B90" s="18"/>
      <c r="C90" s="18"/>
      <c r="D90" s="19"/>
      <c r="E90" s="19"/>
      <c r="F90" s="19"/>
      <c r="G90" s="20"/>
      <c r="H90" s="21" t="str">
        <f aca="false">IF(B90="","",F90-E90)</f>
        <v/>
      </c>
      <c r="I90" s="22" t="str">
        <f aca="false">IF(B90="","",IF(E90=0,"",H90/E90))</f>
        <v/>
      </c>
      <c r="J90" s="7" t="str">
        <f aca="false">IF(B90="","",IF(G90&lt;=設定!$C$6,IF(I90&gt;=設定!$C$7,"I(コア)","II(回転)"),IF(I90&gt;=設定!$C$7,"III(厳選)","IV(見送り)")))</f>
        <v/>
      </c>
      <c r="K90" s="7" t="str">
        <f aca="false">IF(B90="","",IF(OR(J90="I(コア)",J90="II(回転)"),"仕入れ候補",IF(J90="III(厳選)","厳選検討（少数）","見送り")))</f>
        <v/>
      </c>
      <c r="L90" s="18"/>
    </row>
    <row r="91" customFormat="false" ht="15" hidden="false" customHeight="false" outlineLevel="0" collapsed="false">
      <c r="A91" s="16" t="str">
        <f aca="false">IF(B91="","",ROW()-12)</f>
        <v/>
      </c>
      <c r="B91" s="18"/>
      <c r="C91" s="18"/>
      <c r="D91" s="19"/>
      <c r="E91" s="19"/>
      <c r="F91" s="19"/>
      <c r="G91" s="20"/>
      <c r="H91" s="21" t="str">
        <f aca="false">IF(B91="","",F91-E91)</f>
        <v/>
      </c>
      <c r="I91" s="22" t="str">
        <f aca="false">IF(B91="","",IF(E91=0,"",H91/E91))</f>
        <v/>
      </c>
      <c r="J91" s="7" t="str">
        <f aca="false">IF(B91="","",IF(G91&lt;=設定!$C$6,IF(I91&gt;=設定!$C$7,"I(コア)","II(回転)"),IF(I91&gt;=設定!$C$7,"III(厳選)","IV(見送り)")))</f>
        <v/>
      </c>
      <c r="K91" s="7" t="str">
        <f aca="false">IF(B91="","",IF(OR(J91="I(コア)",J91="II(回転)"),"仕入れ候補",IF(J91="III(厳選)","厳選検討（少数）","見送り")))</f>
        <v/>
      </c>
      <c r="L91" s="18"/>
    </row>
    <row r="92" customFormat="false" ht="15" hidden="false" customHeight="false" outlineLevel="0" collapsed="false">
      <c r="A92" s="16" t="str">
        <f aca="false">IF(B92="","",ROW()-12)</f>
        <v/>
      </c>
      <c r="B92" s="18"/>
      <c r="C92" s="18"/>
      <c r="D92" s="19"/>
      <c r="E92" s="19"/>
      <c r="F92" s="19"/>
      <c r="G92" s="20"/>
      <c r="H92" s="21" t="str">
        <f aca="false">IF(B92="","",F92-E92)</f>
        <v/>
      </c>
      <c r="I92" s="22" t="str">
        <f aca="false">IF(B92="","",IF(E92=0,"",H92/E92))</f>
        <v/>
      </c>
      <c r="J92" s="7" t="str">
        <f aca="false">IF(B92="","",IF(G92&lt;=設定!$C$6,IF(I92&gt;=設定!$C$7,"I(コア)","II(回転)"),IF(I92&gt;=設定!$C$7,"III(厳選)","IV(見送り)")))</f>
        <v/>
      </c>
      <c r="K92" s="7" t="str">
        <f aca="false">IF(B92="","",IF(OR(J92="I(コア)",J92="II(回転)"),"仕入れ候補",IF(J92="III(厳選)","厳選検討（少数）","見送り")))</f>
        <v/>
      </c>
      <c r="L92" s="18"/>
    </row>
    <row r="93" customFormat="false" ht="15" hidden="false" customHeight="false" outlineLevel="0" collapsed="false">
      <c r="A93" s="16" t="str">
        <f aca="false">IF(B93="","",ROW()-12)</f>
        <v/>
      </c>
      <c r="B93" s="18"/>
      <c r="C93" s="18"/>
      <c r="D93" s="19"/>
      <c r="E93" s="19"/>
      <c r="F93" s="19"/>
      <c r="G93" s="20"/>
      <c r="H93" s="21" t="str">
        <f aca="false">IF(B93="","",F93-E93)</f>
        <v/>
      </c>
      <c r="I93" s="22" t="str">
        <f aca="false">IF(B93="","",IF(E93=0,"",H93/E93))</f>
        <v/>
      </c>
      <c r="J93" s="7" t="str">
        <f aca="false">IF(B93="","",IF(G93&lt;=設定!$C$6,IF(I93&gt;=設定!$C$7,"I(コア)","II(回転)"),IF(I93&gt;=設定!$C$7,"III(厳選)","IV(見送り)")))</f>
        <v/>
      </c>
      <c r="K93" s="7" t="str">
        <f aca="false">IF(B93="","",IF(OR(J93="I(コア)",J93="II(回転)"),"仕入れ候補",IF(J93="III(厳選)","厳選検討（少数）","見送り")))</f>
        <v/>
      </c>
      <c r="L93" s="18"/>
    </row>
    <row r="94" customFormat="false" ht="15" hidden="false" customHeight="false" outlineLevel="0" collapsed="false">
      <c r="A94" s="16" t="str">
        <f aca="false">IF(B94="","",ROW()-12)</f>
        <v/>
      </c>
      <c r="B94" s="18"/>
      <c r="C94" s="18"/>
      <c r="D94" s="19"/>
      <c r="E94" s="19"/>
      <c r="F94" s="19"/>
      <c r="G94" s="20"/>
      <c r="H94" s="21" t="str">
        <f aca="false">IF(B94="","",F94-E94)</f>
        <v/>
      </c>
      <c r="I94" s="22" t="str">
        <f aca="false">IF(B94="","",IF(E94=0,"",H94/E94))</f>
        <v/>
      </c>
      <c r="J94" s="7" t="str">
        <f aca="false">IF(B94="","",IF(G94&lt;=設定!$C$6,IF(I94&gt;=設定!$C$7,"I(コア)","II(回転)"),IF(I94&gt;=設定!$C$7,"III(厳選)","IV(見送り)")))</f>
        <v/>
      </c>
      <c r="K94" s="7" t="str">
        <f aca="false">IF(B94="","",IF(OR(J94="I(コア)",J94="II(回転)"),"仕入れ候補",IF(J94="III(厳選)","厳選検討（少数）","見送り")))</f>
        <v/>
      </c>
      <c r="L94" s="18"/>
    </row>
    <row r="95" customFormat="false" ht="15" hidden="false" customHeight="false" outlineLevel="0" collapsed="false">
      <c r="A95" s="16" t="str">
        <f aca="false">IF(B95="","",ROW()-12)</f>
        <v/>
      </c>
      <c r="B95" s="18"/>
      <c r="C95" s="18"/>
      <c r="D95" s="19"/>
      <c r="E95" s="19"/>
      <c r="F95" s="19"/>
      <c r="G95" s="20"/>
      <c r="H95" s="21" t="str">
        <f aca="false">IF(B95="","",F95-E95)</f>
        <v/>
      </c>
      <c r="I95" s="22" t="str">
        <f aca="false">IF(B95="","",IF(E95=0,"",H95/E95))</f>
        <v/>
      </c>
      <c r="J95" s="7" t="str">
        <f aca="false">IF(B95="","",IF(G95&lt;=設定!$C$6,IF(I95&gt;=設定!$C$7,"I(コア)","II(回転)"),IF(I95&gt;=設定!$C$7,"III(厳選)","IV(見送り)")))</f>
        <v/>
      </c>
      <c r="K95" s="7" t="str">
        <f aca="false">IF(B95="","",IF(OR(J95="I(コア)",J95="II(回転)"),"仕入れ候補",IF(J95="III(厳選)","厳選検討（少数）","見送り")))</f>
        <v/>
      </c>
      <c r="L95" s="18"/>
    </row>
    <row r="96" customFormat="false" ht="15" hidden="false" customHeight="false" outlineLevel="0" collapsed="false">
      <c r="A96" s="16" t="str">
        <f aca="false">IF(B96="","",ROW()-12)</f>
        <v/>
      </c>
      <c r="B96" s="18"/>
      <c r="C96" s="18"/>
      <c r="D96" s="19"/>
      <c r="E96" s="19"/>
      <c r="F96" s="19"/>
      <c r="G96" s="20"/>
      <c r="H96" s="21" t="str">
        <f aca="false">IF(B96="","",F96-E96)</f>
        <v/>
      </c>
      <c r="I96" s="22" t="str">
        <f aca="false">IF(B96="","",IF(E96=0,"",H96/E96))</f>
        <v/>
      </c>
      <c r="J96" s="7" t="str">
        <f aca="false">IF(B96="","",IF(G96&lt;=設定!$C$6,IF(I96&gt;=設定!$C$7,"I(コア)","II(回転)"),IF(I96&gt;=設定!$C$7,"III(厳選)","IV(見送り)")))</f>
        <v/>
      </c>
      <c r="K96" s="7" t="str">
        <f aca="false">IF(B96="","",IF(OR(J96="I(コア)",J96="II(回転)"),"仕入れ候補",IF(J96="III(厳選)","厳選検討（少数）","見送り")))</f>
        <v/>
      </c>
      <c r="L96" s="18"/>
    </row>
    <row r="97" customFormat="false" ht="15" hidden="false" customHeight="false" outlineLevel="0" collapsed="false">
      <c r="A97" s="16" t="str">
        <f aca="false">IF(B97="","",ROW()-12)</f>
        <v/>
      </c>
      <c r="B97" s="18"/>
      <c r="C97" s="18"/>
      <c r="D97" s="19"/>
      <c r="E97" s="19"/>
      <c r="F97" s="19"/>
      <c r="G97" s="20"/>
      <c r="H97" s="21" t="str">
        <f aca="false">IF(B97="","",F97-E97)</f>
        <v/>
      </c>
      <c r="I97" s="22" t="str">
        <f aca="false">IF(B97="","",IF(E97=0,"",H97/E97))</f>
        <v/>
      </c>
      <c r="J97" s="7" t="str">
        <f aca="false">IF(B97="","",IF(G97&lt;=設定!$C$6,IF(I97&gt;=設定!$C$7,"I(コア)","II(回転)"),IF(I97&gt;=設定!$C$7,"III(厳選)","IV(見送り)")))</f>
        <v/>
      </c>
      <c r="K97" s="7" t="str">
        <f aca="false">IF(B97="","",IF(OR(J97="I(コア)",J97="II(回転)"),"仕入れ候補",IF(J97="III(厳選)","厳選検討（少数）","見送り")))</f>
        <v/>
      </c>
      <c r="L97" s="18"/>
    </row>
    <row r="98" customFormat="false" ht="15" hidden="false" customHeight="false" outlineLevel="0" collapsed="false">
      <c r="A98" s="16" t="str">
        <f aca="false">IF(B98="","",ROW()-12)</f>
        <v/>
      </c>
      <c r="B98" s="18"/>
      <c r="C98" s="18"/>
      <c r="D98" s="19"/>
      <c r="E98" s="19"/>
      <c r="F98" s="19"/>
      <c r="G98" s="20"/>
      <c r="H98" s="21" t="str">
        <f aca="false">IF(B98="","",F98-E98)</f>
        <v/>
      </c>
      <c r="I98" s="22" t="str">
        <f aca="false">IF(B98="","",IF(E98=0,"",H98/E98))</f>
        <v/>
      </c>
      <c r="J98" s="7" t="str">
        <f aca="false">IF(B98="","",IF(G98&lt;=設定!$C$6,IF(I98&gt;=設定!$C$7,"I(コア)","II(回転)"),IF(I98&gt;=設定!$C$7,"III(厳選)","IV(見送り)")))</f>
        <v/>
      </c>
      <c r="K98" s="7" t="str">
        <f aca="false">IF(B98="","",IF(OR(J98="I(コア)",J98="II(回転)"),"仕入れ候補",IF(J98="III(厳選)","厳選検討（少数）","見送り")))</f>
        <v/>
      </c>
      <c r="L98" s="18"/>
    </row>
    <row r="99" customFormat="false" ht="15" hidden="false" customHeight="false" outlineLevel="0" collapsed="false">
      <c r="A99" s="16" t="str">
        <f aca="false">IF(B99="","",ROW()-12)</f>
        <v/>
      </c>
      <c r="B99" s="18"/>
      <c r="C99" s="18"/>
      <c r="D99" s="19"/>
      <c r="E99" s="19"/>
      <c r="F99" s="19"/>
      <c r="G99" s="20"/>
      <c r="H99" s="21" t="str">
        <f aca="false">IF(B99="","",F99-E99)</f>
        <v/>
      </c>
      <c r="I99" s="22" t="str">
        <f aca="false">IF(B99="","",IF(E99=0,"",H99/E99))</f>
        <v/>
      </c>
      <c r="J99" s="7" t="str">
        <f aca="false">IF(B99="","",IF(G99&lt;=設定!$C$6,IF(I99&gt;=設定!$C$7,"I(コア)","II(回転)"),IF(I99&gt;=設定!$C$7,"III(厳選)","IV(見送り)")))</f>
        <v/>
      </c>
      <c r="K99" s="7" t="str">
        <f aca="false">IF(B99="","",IF(OR(J99="I(コア)",J99="II(回転)"),"仕入れ候補",IF(J99="III(厳選)","厳選検討（少数）","見送り")))</f>
        <v/>
      </c>
      <c r="L99" s="18"/>
    </row>
    <row r="100" customFormat="false" ht="15" hidden="false" customHeight="false" outlineLevel="0" collapsed="false">
      <c r="A100" s="16" t="str">
        <f aca="false">IF(B100="","",ROW()-12)</f>
        <v/>
      </c>
      <c r="B100" s="18"/>
      <c r="C100" s="18"/>
      <c r="D100" s="19"/>
      <c r="E100" s="19"/>
      <c r="F100" s="19"/>
      <c r="G100" s="20"/>
      <c r="H100" s="21" t="str">
        <f aca="false">IF(B100="","",F100-E100)</f>
        <v/>
      </c>
      <c r="I100" s="22" t="str">
        <f aca="false">IF(B100="","",IF(E100=0,"",H100/E100))</f>
        <v/>
      </c>
      <c r="J100" s="7" t="str">
        <f aca="false">IF(B100="","",IF(G100&lt;=設定!$C$6,IF(I100&gt;=設定!$C$7,"I(コア)","II(回転)"),IF(I100&gt;=設定!$C$7,"III(厳選)","IV(見送り)")))</f>
        <v/>
      </c>
      <c r="K100" s="7" t="str">
        <f aca="false">IF(B100="","",IF(OR(J100="I(コア)",J100="II(回転)"),"仕入れ候補",IF(J100="III(厳選)","厳選検討（少数）","見送り")))</f>
        <v/>
      </c>
      <c r="L100" s="18"/>
    </row>
    <row r="101" customFormat="false" ht="15" hidden="false" customHeight="false" outlineLevel="0" collapsed="false">
      <c r="A101" s="16" t="str">
        <f aca="false">IF(B101="","",ROW()-12)</f>
        <v/>
      </c>
      <c r="B101" s="18"/>
      <c r="C101" s="18"/>
      <c r="D101" s="19"/>
      <c r="E101" s="19"/>
      <c r="F101" s="19"/>
      <c r="G101" s="20"/>
      <c r="H101" s="21" t="str">
        <f aca="false">IF(B101="","",F101-E101)</f>
        <v/>
      </c>
      <c r="I101" s="22" t="str">
        <f aca="false">IF(B101="","",IF(E101=0,"",H101/E101))</f>
        <v/>
      </c>
      <c r="J101" s="7" t="str">
        <f aca="false">IF(B101="","",IF(G101&lt;=設定!$C$6,IF(I101&gt;=設定!$C$7,"I(コア)","II(回転)"),IF(I101&gt;=設定!$C$7,"III(厳選)","IV(見送り)")))</f>
        <v/>
      </c>
      <c r="K101" s="7" t="str">
        <f aca="false">IF(B101="","",IF(OR(J101="I(コア)",J101="II(回転)"),"仕入れ候補",IF(J101="III(厳選)","厳選検討（少数）","見送り")))</f>
        <v/>
      </c>
      <c r="L101" s="18"/>
    </row>
    <row r="102" customFormat="false" ht="15" hidden="false" customHeight="false" outlineLevel="0" collapsed="false">
      <c r="A102" s="16" t="str">
        <f aca="false">IF(B102="","",ROW()-12)</f>
        <v/>
      </c>
      <c r="B102" s="18"/>
      <c r="C102" s="18"/>
      <c r="D102" s="19"/>
      <c r="E102" s="19"/>
      <c r="F102" s="19"/>
      <c r="G102" s="20"/>
      <c r="H102" s="21" t="str">
        <f aca="false">IF(B102="","",F102-E102)</f>
        <v/>
      </c>
      <c r="I102" s="22" t="str">
        <f aca="false">IF(B102="","",IF(E102=0,"",H102/E102))</f>
        <v/>
      </c>
      <c r="J102" s="7" t="str">
        <f aca="false">IF(B102="","",IF(G102&lt;=設定!$C$6,IF(I102&gt;=設定!$C$7,"I(コア)","II(回転)"),IF(I102&gt;=設定!$C$7,"III(厳選)","IV(見送り)")))</f>
        <v/>
      </c>
      <c r="K102" s="7" t="str">
        <f aca="false">IF(B102="","",IF(OR(J102="I(コア)",J102="II(回転)"),"仕入れ候補",IF(J102="III(厳選)","厳選検討（少数）","見送り")))</f>
        <v/>
      </c>
      <c r="L102" s="18"/>
    </row>
    <row r="103" customFormat="false" ht="15" hidden="false" customHeight="false" outlineLevel="0" collapsed="false">
      <c r="A103" s="16" t="str">
        <f aca="false">IF(B103="","",ROW()-12)</f>
        <v/>
      </c>
      <c r="B103" s="18"/>
      <c r="C103" s="18"/>
      <c r="D103" s="19"/>
      <c r="E103" s="19"/>
      <c r="F103" s="19"/>
      <c r="G103" s="20"/>
      <c r="H103" s="21" t="str">
        <f aca="false">IF(B103="","",F103-E103)</f>
        <v/>
      </c>
      <c r="I103" s="22" t="str">
        <f aca="false">IF(B103="","",IF(E103=0,"",H103/E103))</f>
        <v/>
      </c>
      <c r="J103" s="7" t="str">
        <f aca="false">IF(B103="","",IF(G103&lt;=設定!$C$6,IF(I103&gt;=設定!$C$7,"I(コア)","II(回転)"),IF(I103&gt;=設定!$C$7,"III(厳選)","IV(見送り)")))</f>
        <v/>
      </c>
      <c r="K103" s="7" t="str">
        <f aca="false">IF(B103="","",IF(OR(J103="I(コア)",J103="II(回転)"),"仕入れ候補",IF(J103="III(厳選)","厳選検討（少数）","見送り")))</f>
        <v/>
      </c>
      <c r="L103" s="18"/>
    </row>
    <row r="104" customFormat="false" ht="15" hidden="false" customHeight="false" outlineLevel="0" collapsed="false">
      <c r="A104" s="16" t="str">
        <f aca="false">IF(B104="","",ROW()-12)</f>
        <v/>
      </c>
      <c r="B104" s="18"/>
      <c r="C104" s="18"/>
      <c r="D104" s="19"/>
      <c r="E104" s="19"/>
      <c r="F104" s="19"/>
      <c r="G104" s="20"/>
      <c r="H104" s="21" t="str">
        <f aca="false">IF(B104="","",F104-E104)</f>
        <v/>
      </c>
      <c r="I104" s="22" t="str">
        <f aca="false">IF(B104="","",IF(E104=0,"",H104/E104))</f>
        <v/>
      </c>
      <c r="J104" s="7" t="str">
        <f aca="false">IF(B104="","",IF(G104&lt;=設定!$C$6,IF(I104&gt;=設定!$C$7,"I(コア)","II(回転)"),IF(I104&gt;=設定!$C$7,"III(厳選)","IV(見送り)")))</f>
        <v/>
      </c>
      <c r="K104" s="7" t="str">
        <f aca="false">IF(B104="","",IF(OR(J104="I(コア)",J104="II(回転)"),"仕入れ候補",IF(J104="III(厳選)","厳選検討（少数）","見送り")))</f>
        <v/>
      </c>
      <c r="L104" s="18"/>
    </row>
    <row r="105" customFormat="false" ht="15" hidden="false" customHeight="false" outlineLevel="0" collapsed="false">
      <c r="A105" s="16" t="str">
        <f aca="false">IF(B105="","",ROW()-12)</f>
        <v/>
      </c>
      <c r="B105" s="18"/>
      <c r="C105" s="18"/>
      <c r="D105" s="19"/>
      <c r="E105" s="19"/>
      <c r="F105" s="19"/>
      <c r="G105" s="20"/>
      <c r="H105" s="21" t="str">
        <f aca="false">IF(B105="","",F105-E105)</f>
        <v/>
      </c>
      <c r="I105" s="22" t="str">
        <f aca="false">IF(B105="","",IF(E105=0,"",H105/E105))</f>
        <v/>
      </c>
      <c r="J105" s="7" t="str">
        <f aca="false">IF(B105="","",IF(G105&lt;=設定!$C$6,IF(I105&gt;=設定!$C$7,"I(コア)","II(回転)"),IF(I105&gt;=設定!$C$7,"III(厳選)","IV(見送り)")))</f>
        <v/>
      </c>
      <c r="K105" s="7" t="str">
        <f aca="false">IF(B105="","",IF(OR(J105="I(コア)",J105="II(回転)"),"仕入れ候補",IF(J105="III(厳選)","厳選検討（少数）","見送り")))</f>
        <v/>
      </c>
      <c r="L105" s="18"/>
    </row>
    <row r="106" customFormat="false" ht="15" hidden="false" customHeight="false" outlineLevel="0" collapsed="false">
      <c r="A106" s="16" t="str">
        <f aca="false">IF(B106="","",ROW()-12)</f>
        <v/>
      </c>
      <c r="B106" s="18"/>
      <c r="C106" s="18"/>
      <c r="D106" s="19"/>
      <c r="E106" s="19"/>
      <c r="F106" s="19"/>
      <c r="G106" s="20"/>
      <c r="H106" s="21" t="str">
        <f aca="false">IF(B106="","",F106-E106)</f>
        <v/>
      </c>
      <c r="I106" s="22" t="str">
        <f aca="false">IF(B106="","",IF(E106=0,"",H106/E106))</f>
        <v/>
      </c>
      <c r="J106" s="7" t="str">
        <f aca="false">IF(B106="","",IF(G106&lt;=設定!$C$6,IF(I106&gt;=設定!$C$7,"I(コア)","II(回転)"),IF(I106&gt;=設定!$C$7,"III(厳選)","IV(見送り)")))</f>
        <v/>
      </c>
      <c r="K106" s="7" t="str">
        <f aca="false">IF(B106="","",IF(OR(J106="I(コア)",J106="II(回転)"),"仕入れ候補",IF(J106="III(厳選)","厳選検討（少数）","見送り")))</f>
        <v/>
      </c>
      <c r="L106" s="18"/>
    </row>
    <row r="107" customFormat="false" ht="15" hidden="false" customHeight="false" outlineLevel="0" collapsed="false">
      <c r="A107" s="16" t="str">
        <f aca="false">IF(B107="","",ROW()-12)</f>
        <v/>
      </c>
      <c r="B107" s="18"/>
      <c r="C107" s="18"/>
      <c r="D107" s="19"/>
      <c r="E107" s="19"/>
      <c r="F107" s="19"/>
      <c r="G107" s="20"/>
      <c r="H107" s="21" t="str">
        <f aca="false">IF(B107="","",F107-E107)</f>
        <v/>
      </c>
      <c r="I107" s="22" t="str">
        <f aca="false">IF(B107="","",IF(E107=0,"",H107/E107))</f>
        <v/>
      </c>
      <c r="J107" s="7" t="str">
        <f aca="false">IF(B107="","",IF(G107&lt;=設定!$C$6,IF(I107&gt;=設定!$C$7,"I(コア)","II(回転)"),IF(I107&gt;=設定!$C$7,"III(厳選)","IV(見送り)")))</f>
        <v/>
      </c>
      <c r="K107" s="7" t="str">
        <f aca="false">IF(B107="","",IF(OR(J107="I(コア)",J107="II(回転)"),"仕入れ候補",IF(J107="III(厳選)","厳選検討（少数）","見送り")))</f>
        <v/>
      </c>
      <c r="L107" s="18"/>
    </row>
    <row r="108" customFormat="false" ht="15" hidden="false" customHeight="false" outlineLevel="0" collapsed="false">
      <c r="A108" s="16" t="str">
        <f aca="false">IF(B108="","",ROW()-12)</f>
        <v/>
      </c>
      <c r="B108" s="18"/>
      <c r="C108" s="18"/>
      <c r="D108" s="19"/>
      <c r="E108" s="19"/>
      <c r="F108" s="19"/>
      <c r="G108" s="20"/>
      <c r="H108" s="21" t="str">
        <f aca="false">IF(B108="","",F108-E108)</f>
        <v/>
      </c>
      <c r="I108" s="22" t="str">
        <f aca="false">IF(B108="","",IF(E108=0,"",H108/E108))</f>
        <v/>
      </c>
      <c r="J108" s="7" t="str">
        <f aca="false">IF(B108="","",IF(G108&lt;=設定!$C$6,IF(I108&gt;=設定!$C$7,"I(コア)","II(回転)"),IF(I108&gt;=設定!$C$7,"III(厳選)","IV(見送り)")))</f>
        <v/>
      </c>
      <c r="K108" s="7" t="str">
        <f aca="false">IF(B108="","",IF(OR(J108="I(コア)",J108="II(回転)"),"仕入れ候補",IF(J108="III(厳選)","厳選検討（少数）","見送り")))</f>
        <v/>
      </c>
      <c r="L108" s="18"/>
    </row>
    <row r="109" customFormat="false" ht="15" hidden="false" customHeight="false" outlineLevel="0" collapsed="false">
      <c r="A109" s="16" t="str">
        <f aca="false">IF(B109="","",ROW()-12)</f>
        <v/>
      </c>
      <c r="B109" s="18"/>
      <c r="C109" s="18"/>
      <c r="D109" s="19"/>
      <c r="E109" s="19"/>
      <c r="F109" s="19"/>
      <c r="G109" s="20"/>
      <c r="H109" s="21" t="str">
        <f aca="false">IF(B109="","",F109-E109)</f>
        <v/>
      </c>
      <c r="I109" s="22" t="str">
        <f aca="false">IF(B109="","",IF(E109=0,"",H109/E109))</f>
        <v/>
      </c>
      <c r="J109" s="7" t="str">
        <f aca="false">IF(B109="","",IF(G109&lt;=設定!$C$6,IF(I109&gt;=設定!$C$7,"I(コア)","II(回転)"),IF(I109&gt;=設定!$C$7,"III(厳選)","IV(見送り)")))</f>
        <v/>
      </c>
      <c r="K109" s="7" t="str">
        <f aca="false">IF(B109="","",IF(OR(J109="I(コア)",J109="II(回転)"),"仕入れ候補",IF(J109="III(厳選)","厳選検討（少数）","見送り")))</f>
        <v/>
      </c>
      <c r="L109" s="18"/>
    </row>
    <row r="110" customFormat="false" ht="15" hidden="false" customHeight="false" outlineLevel="0" collapsed="false">
      <c r="A110" s="16" t="str">
        <f aca="false">IF(B110="","",ROW()-12)</f>
        <v/>
      </c>
      <c r="B110" s="18"/>
      <c r="C110" s="18"/>
      <c r="D110" s="19"/>
      <c r="E110" s="19"/>
      <c r="F110" s="19"/>
      <c r="G110" s="20"/>
      <c r="H110" s="21" t="str">
        <f aca="false">IF(B110="","",F110-E110)</f>
        <v/>
      </c>
      <c r="I110" s="22" t="str">
        <f aca="false">IF(B110="","",IF(E110=0,"",H110/E110))</f>
        <v/>
      </c>
      <c r="J110" s="7" t="str">
        <f aca="false">IF(B110="","",IF(G110&lt;=設定!$C$6,IF(I110&gt;=設定!$C$7,"I(コア)","II(回転)"),IF(I110&gt;=設定!$C$7,"III(厳選)","IV(見送り)")))</f>
        <v/>
      </c>
      <c r="K110" s="7" t="str">
        <f aca="false">IF(B110="","",IF(OR(J110="I(コア)",J110="II(回転)"),"仕入れ候補",IF(J110="III(厳選)","厳選検討（少数）","見送り")))</f>
        <v/>
      </c>
      <c r="L110" s="18"/>
    </row>
    <row r="111" customFormat="false" ht="15" hidden="false" customHeight="false" outlineLevel="0" collapsed="false">
      <c r="A111" s="16" t="str">
        <f aca="false">IF(B111="","",ROW()-12)</f>
        <v/>
      </c>
      <c r="B111" s="18"/>
      <c r="C111" s="18"/>
      <c r="D111" s="19"/>
      <c r="E111" s="19"/>
      <c r="F111" s="19"/>
      <c r="G111" s="20"/>
      <c r="H111" s="21" t="str">
        <f aca="false">IF(B111="","",F111-E111)</f>
        <v/>
      </c>
      <c r="I111" s="22" t="str">
        <f aca="false">IF(B111="","",IF(E111=0,"",H111/E111))</f>
        <v/>
      </c>
      <c r="J111" s="7" t="str">
        <f aca="false">IF(B111="","",IF(G111&lt;=設定!$C$6,IF(I111&gt;=設定!$C$7,"I(コア)","II(回転)"),IF(I111&gt;=設定!$C$7,"III(厳選)","IV(見送り)")))</f>
        <v/>
      </c>
      <c r="K111" s="7" t="str">
        <f aca="false">IF(B111="","",IF(OR(J111="I(コア)",J111="II(回転)"),"仕入れ候補",IF(J111="III(厳選)","厳選検討（少数）","見送り")))</f>
        <v/>
      </c>
      <c r="L111" s="18"/>
    </row>
    <row r="112" customFormat="false" ht="15" hidden="false" customHeight="false" outlineLevel="0" collapsed="false">
      <c r="A112" s="16" t="str">
        <f aca="false">IF(B112="","",ROW()-12)</f>
        <v/>
      </c>
      <c r="B112" s="18"/>
      <c r="C112" s="18"/>
      <c r="D112" s="19"/>
      <c r="E112" s="19"/>
      <c r="F112" s="19"/>
      <c r="G112" s="20"/>
      <c r="H112" s="21" t="str">
        <f aca="false">IF(B112="","",F112-E112)</f>
        <v/>
      </c>
      <c r="I112" s="22" t="str">
        <f aca="false">IF(B112="","",IF(E112=0,"",H112/E112))</f>
        <v/>
      </c>
      <c r="J112" s="7" t="str">
        <f aca="false">IF(B112="","",IF(G112&lt;=設定!$C$6,IF(I112&gt;=設定!$C$7,"I(コア)","II(回転)"),IF(I112&gt;=設定!$C$7,"III(厳選)","IV(見送り)")))</f>
        <v/>
      </c>
      <c r="K112" s="7" t="str">
        <f aca="false">IF(B112="","",IF(OR(J112="I(コア)",J112="II(回転)"),"仕入れ候補",IF(J112="III(厳選)","厳選検討（少数）","見送り")))</f>
        <v/>
      </c>
      <c r="L112" s="18"/>
    </row>
  </sheetData>
  <dataValidations count="1">
    <dataValidation allowBlank="true" errorStyle="stop" operator="between" showDropDown="false" showErrorMessage="false" showInputMessage="false" sqref="C13:C112" type="list">
      <formula1>設定!$B$18:$B$23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2:L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20"/>
    <col collapsed="false" customWidth="true" hidden="false" outlineLevel="0" max="6" min="5" style="0" width="14"/>
    <col collapsed="false" customWidth="true" hidden="false" outlineLevel="0" max="7" min="7" style="0" width="30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2" min="10" style="0" width="12"/>
  </cols>
  <sheetData>
    <row r="2" customFormat="false" ht="19.7" hidden="false" customHeight="false" outlineLevel="0" collapsed="false">
      <c r="B2" s="1" t="s">
        <v>102</v>
      </c>
    </row>
    <row r="3" customFormat="false" ht="15" hidden="false" customHeight="false" outlineLevel="0" collapsed="false">
      <c r="B3" s="2" t="s">
        <v>103</v>
      </c>
    </row>
    <row r="5" customFormat="false" ht="15" hidden="false" customHeight="false" outlineLevel="0" collapsed="false">
      <c r="B5" s="7" t="s">
        <v>104</v>
      </c>
      <c r="C5" s="23" t="n">
        <v>500000</v>
      </c>
    </row>
    <row r="7" customFormat="false" ht="28.35" hidden="false" customHeight="false" outlineLevel="0" collapsed="false">
      <c r="A7" s="10" t="s">
        <v>92</v>
      </c>
      <c r="B7" s="10" t="s">
        <v>105</v>
      </c>
      <c r="C7" s="10" t="s">
        <v>106</v>
      </c>
      <c r="D7" s="10" t="s">
        <v>107</v>
      </c>
      <c r="E7" s="10" t="s">
        <v>108</v>
      </c>
      <c r="F7" s="10" t="s">
        <v>109</v>
      </c>
      <c r="G7" s="10" t="s">
        <v>110</v>
      </c>
      <c r="H7" s="10" t="s">
        <v>111</v>
      </c>
      <c r="I7" s="10" t="s">
        <v>112</v>
      </c>
      <c r="J7" s="10" t="s">
        <v>113</v>
      </c>
      <c r="K7" s="10" t="s">
        <v>114</v>
      </c>
      <c r="L7" s="10" t="s">
        <v>115</v>
      </c>
    </row>
    <row r="8" customFormat="false" ht="30" hidden="false" customHeight="true" outlineLevel="0" collapsed="false">
      <c r="A8" s="15" t="s">
        <v>35</v>
      </c>
      <c r="B8" s="15" t="s">
        <v>35</v>
      </c>
      <c r="C8" s="18" t="s">
        <v>116</v>
      </c>
      <c r="D8" s="18" t="s">
        <v>117</v>
      </c>
      <c r="E8" s="23" t="n">
        <v>50000</v>
      </c>
      <c r="F8" s="24" t="s">
        <v>118</v>
      </c>
      <c r="G8" s="18" t="s">
        <v>119</v>
      </c>
      <c r="H8" s="9" t="n">
        <v>0.5</v>
      </c>
      <c r="I8" s="21" t="n">
        <f aca="false">$C$5*H8</f>
        <v>250000</v>
      </c>
      <c r="J8" s="25" t="n">
        <v>15</v>
      </c>
      <c r="K8" s="16" t="n">
        <f aca="false">COUNTIF(ウォッチリスト!$J$13:$J$112,"I(コア)")</f>
        <v>1</v>
      </c>
      <c r="L8" s="16" t="n">
        <f aca="false">COUNTIF(在庫管理!$P$11:$P$110,"I(コア)")</f>
        <v>1</v>
      </c>
    </row>
    <row r="9" customFormat="false" ht="30" hidden="false" customHeight="true" outlineLevel="0" collapsed="false">
      <c r="A9" s="15" t="s">
        <v>39</v>
      </c>
      <c r="B9" s="15" t="s">
        <v>39</v>
      </c>
      <c r="C9" s="18" t="s">
        <v>120</v>
      </c>
      <c r="D9" s="18" t="s">
        <v>121</v>
      </c>
      <c r="E9" s="23" t="n">
        <v>15000</v>
      </c>
      <c r="F9" s="24" t="s">
        <v>122</v>
      </c>
      <c r="G9" s="18" t="s">
        <v>123</v>
      </c>
      <c r="H9" s="9" t="n">
        <v>0.3</v>
      </c>
      <c r="I9" s="21" t="n">
        <f aca="false">$C$5*H9</f>
        <v>150000</v>
      </c>
      <c r="J9" s="25" t="n">
        <v>40</v>
      </c>
      <c r="K9" s="16" t="n">
        <f aca="false">COUNTIF(ウォッチリスト!$J$13:$J$112,"II(回転)")</f>
        <v>1</v>
      </c>
      <c r="L9" s="16" t="n">
        <f aca="false">COUNTIF(在庫管理!$P$11:$P$110,"II(回転)")</f>
        <v>1</v>
      </c>
    </row>
    <row r="10" customFormat="false" ht="30" hidden="false" customHeight="true" outlineLevel="0" collapsed="false">
      <c r="A10" s="15" t="s">
        <v>42</v>
      </c>
      <c r="B10" s="15" t="s">
        <v>42</v>
      </c>
      <c r="C10" s="18" t="s">
        <v>124</v>
      </c>
      <c r="D10" s="18" t="s">
        <v>125</v>
      </c>
      <c r="E10" s="23" t="n">
        <v>80000</v>
      </c>
      <c r="F10" s="24" t="s">
        <v>57</v>
      </c>
      <c r="G10" s="18" t="s">
        <v>126</v>
      </c>
      <c r="H10" s="9" t="n">
        <v>0.15</v>
      </c>
      <c r="I10" s="21" t="n">
        <f aca="false">$C$5*H10</f>
        <v>75000</v>
      </c>
      <c r="J10" s="25" t="n">
        <v>5</v>
      </c>
      <c r="K10" s="16" t="n">
        <f aca="false">COUNTIF(ウォッチリスト!$J$13:$J$112,"III(厳選)")</f>
        <v>2</v>
      </c>
      <c r="L10" s="16" t="n">
        <f aca="false">COUNTIF(在庫管理!$P$11:$P$110,"III(厳選)")</f>
        <v>1</v>
      </c>
    </row>
    <row r="11" customFormat="false" ht="30" hidden="false" customHeight="true" outlineLevel="0" collapsed="false">
      <c r="A11" s="15" t="s">
        <v>45</v>
      </c>
      <c r="B11" s="15" t="s">
        <v>45</v>
      </c>
      <c r="C11" s="18" t="s">
        <v>127</v>
      </c>
      <c r="D11" s="24" t="s">
        <v>128</v>
      </c>
      <c r="E11" s="23" t="n">
        <v>0</v>
      </c>
      <c r="F11" s="24" t="s">
        <v>128</v>
      </c>
      <c r="G11" s="18" t="s">
        <v>129</v>
      </c>
      <c r="H11" s="9" t="n">
        <v>0.05</v>
      </c>
      <c r="I11" s="21" t="n">
        <f aca="false">$C$5*H11</f>
        <v>25000</v>
      </c>
      <c r="J11" s="25" t="n">
        <v>0</v>
      </c>
      <c r="K11" s="16" t="n">
        <f aca="false">COUNTIF(ウォッチリスト!$J$13:$J$112,"IV(見送り)")</f>
        <v>1</v>
      </c>
      <c r="L11" s="16" t="n">
        <f aca="false">COUNTIF(在庫管理!$P$11:$P$110,"IV(見送り)")</f>
        <v>2</v>
      </c>
    </row>
    <row r="12" customFormat="false" ht="15" hidden="false" customHeight="false" outlineLevel="0" collapsed="false">
      <c r="B12" s="26" t="s">
        <v>130</v>
      </c>
      <c r="H12" s="27" t="n">
        <f aca="false">SUM(H8:H11)</f>
        <v>1</v>
      </c>
      <c r="I12" s="28" t="n">
        <f aca="false">SUM(I8:I11)</f>
        <v>500000</v>
      </c>
    </row>
    <row r="14" customFormat="false" ht="15" hidden="false" customHeight="false" outlineLevel="0" collapsed="false">
      <c r="B14" s="2" t="s">
        <v>131</v>
      </c>
    </row>
  </sheetData>
  <conditionalFormatting sqref="H12">
    <cfRule type="cellIs" priority="2" operator="notEqual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true"/>
  </sheetPr>
  <dimension ref="A2:R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7" min="6" style="0" width="8"/>
    <col collapsed="false" customWidth="true" hidden="false" outlineLevel="0" max="9" min="8" style="0" width="10"/>
    <col collapsed="false" customWidth="true" hidden="false" outlineLevel="0" max="11" min="10" style="0" width="12"/>
    <col collapsed="false" customWidth="true" hidden="false" outlineLevel="0" max="12" min="12" style="0" width="14"/>
    <col collapsed="false" customWidth="true" hidden="false" outlineLevel="0" max="17" min="13" style="0" width="12"/>
    <col collapsed="false" customWidth="true" hidden="false" outlineLevel="0" max="18" min="18" style="0" width="22"/>
  </cols>
  <sheetData>
    <row r="2" customFormat="false" ht="19.7" hidden="false" customHeight="false" outlineLevel="0" collapsed="false">
      <c r="B2" s="1" t="s">
        <v>132</v>
      </c>
    </row>
    <row r="3" customFormat="false" ht="15" hidden="false" customHeight="false" outlineLevel="0" collapsed="false">
      <c r="B3" s="2" t="s">
        <v>133</v>
      </c>
    </row>
    <row r="5" customFormat="false" ht="15" hidden="false" customHeight="false" outlineLevel="0" collapsed="false">
      <c r="B5" s="7" t="s">
        <v>134</v>
      </c>
      <c r="C5" s="21" t="n">
        <f aca="false">SUMIFS(K11:K110,I11:I110,"在庫中")</f>
        <v>90000</v>
      </c>
    </row>
    <row r="6" customFormat="false" ht="15" hidden="false" customHeight="false" outlineLevel="0" collapsed="false">
      <c r="B6" s="7" t="s">
        <v>135</v>
      </c>
      <c r="C6" s="21" t="n">
        <f aca="false">SUMIFS(L11:L110,I11:I110,"在庫中")</f>
        <v>111500</v>
      </c>
    </row>
    <row r="7" customFormat="false" ht="15" hidden="false" customHeight="false" outlineLevel="0" collapsed="false">
      <c r="B7" s="7" t="s">
        <v>136</v>
      </c>
      <c r="C7" s="21" t="n">
        <f aca="false">C6-C5</f>
        <v>21500</v>
      </c>
    </row>
    <row r="8" customFormat="false" ht="15" hidden="false" customHeight="false" outlineLevel="0" collapsed="false">
      <c r="B8" s="7" t="s">
        <v>137</v>
      </c>
      <c r="C8" s="22" t="n">
        <f aca="false">IFERROR(C7/C5,"")</f>
        <v>0.238888888888889</v>
      </c>
    </row>
    <row r="9" customFormat="false" ht="15" hidden="false" customHeight="false" outlineLevel="0" collapsed="false">
      <c r="B9" s="7" t="s">
        <v>138</v>
      </c>
      <c r="C9" s="16" t="n">
        <f aca="false">COUNTIF(I11:I110,"在庫中")</f>
        <v>3</v>
      </c>
    </row>
    <row r="10" customFormat="false" ht="41.75" hidden="false" customHeight="false" outlineLevel="0" collapsed="false">
      <c r="A10" s="17" t="s">
        <v>83</v>
      </c>
      <c r="B10" s="10" t="s">
        <v>139</v>
      </c>
      <c r="C10" s="10" t="s">
        <v>85</v>
      </c>
      <c r="D10" s="10" t="s">
        <v>140</v>
      </c>
      <c r="E10" s="10" t="s">
        <v>141</v>
      </c>
      <c r="F10" s="10" t="s">
        <v>142</v>
      </c>
      <c r="G10" s="10" t="s">
        <v>143</v>
      </c>
      <c r="H10" s="10" t="s">
        <v>56</v>
      </c>
      <c r="I10" s="10" t="s">
        <v>63</v>
      </c>
      <c r="J10" s="10" t="s">
        <v>144</v>
      </c>
      <c r="K10" s="10" t="s">
        <v>145</v>
      </c>
      <c r="L10" s="10" t="s">
        <v>146</v>
      </c>
      <c r="M10" s="10" t="s">
        <v>89</v>
      </c>
      <c r="N10" s="10" t="s">
        <v>90</v>
      </c>
      <c r="O10" s="10" t="s">
        <v>91</v>
      </c>
      <c r="P10" s="10" t="s">
        <v>92</v>
      </c>
      <c r="Q10" s="10" t="s">
        <v>147</v>
      </c>
      <c r="R10" s="10" t="s">
        <v>94</v>
      </c>
    </row>
    <row r="11" customFormat="false" ht="15" hidden="false" customHeight="false" outlineLevel="0" collapsed="false">
      <c r="A11" s="16" t="n">
        <f aca="false">IF(B11="","",ROW()-10)</f>
        <v>1</v>
      </c>
      <c r="B11" s="18" t="s">
        <v>148</v>
      </c>
      <c r="C11" s="18" t="s">
        <v>49</v>
      </c>
      <c r="D11" s="18" t="s">
        <v>69</v>
      </c>
      <c r="E11" s="18" t="s">
        <v>74</v>
      </c>
      <c r="F11" s="24" t="s">
        <v>149</v>
      </c>
      <c r="G11" s="24" t="s">
        <v>150</v>
      </c>
      <c r="H11" s="24" t="s">
        <v>57</v>
      </c>
      <c r="I11" s="18" t="s">
        <v>64</v>
      </c>
      <c r="J11" s="29" t="s">
        <v>151</v>
      </c>
      <c r="K11" s="19" t="n">
        <v>24000</v>
      </c>
      <c r="L11" s="19" t="n">
        <v>31000</v>
      </c>
      <c r="M11" s="20" t="n">
        <v>18</v>
      </c>
      <c r="N11" s="21" t="n">
        <f aca="false">IF(B11="","",L11-K11)</f>
        <v>7000</v>
      </c>
      <c r="O11" s="22" t="n">
        <f aca="false">IF(B11="","",IF(K11=0,"",N11/K11))</f>
        <v>0.291666666666667</v>
      </c>
      <c r="P11" s="7" t="str">
        <f aca="false">IF(B11="","",IF(M11&lt;=設定!$C$6,IF(O11&gt;=設定!$C$7,"I(コア)","II(回転)"),IF(O11&gt;=設定!$C$7,"III(厳選)","IV(見送り)")))</f>
        <v>I(コア)</v>
      </c>
      <c r="Q11" s="22" t="n">
        <f aca="false">IF(B11="","",IF(I11="在庫中",IF($C$6=0,"",L11/$C$6),""))</f>
        <v>0.278026905829596</v>
      </c>
      <c r="R11" s="24"/>
    </row>
    <row r="12" customFormat="false" ht="15" hidden="false" customHeight="false" outlineLevel="0" collapsed="false">
      <c r="A12" s="16" t="n">
        <f aca="false">IF(B12="","",ROW()-10)</f>
        <v>2</v>
      </c>
      <c r="B12" s="18" t="s">
        <v>152</v>
      </c>
      <c r="C12" s="18" t="s">
        <v>51</v>
      </c>
      <c r="D12" s="24"/>
      <c r="E12" s="24"/>
      <c r="F12" s="24" t="s">
        <v>150</v>
      </c>
      <c r="G12" s="24" t="s">
        <v>150</v>
      </c>
      <c r="H12" s="24" t="s">
        <v>59</v>
      </c>
      <c r="I12" s="18" t="s">
        <v>64</v>
      </c>
      <c r="J12" s="29" t="s">
        <v>153</v>
      </c>
      <c r="K12" s="19" t="n">
        <v>28000</v>
      </c>
      <c r="L12" s="19" t="n">
        <v>31500</v>
      </c>
      <c r="M12" s="20" t="n">
        <v>12</v>
      </c>
      <c r="N12" s="21" t="n">
        <f aca="false">IF(B12="","",L12-K12)</f>
        <v>3500</v>
      </c>
      <c r="O12" s="22" t="n">
        <f aca="false">IF(B12="","",IF(K12=0,"",N12/K12))</f>
        <v>0.125</v>
      </c>
      <c r="P12" s="7" t="str">
        <f aca="false">IF(B12="","",IF(M12&lt;=設定!$C$6,IF(O12&gt;=設定!$C$7,"I(コア)","II(回転)"),IF(O12&gt;=設定!$C$7,"III(厳選)","IV(見送り)")))</f>
        <v>II(回転)</v>
      </c>
      <c r="Q12" s="22" t="n">
        <f aca="false">IF(B12="","",IF(I12="在庫中",IF($C$6=0,"",L12/$C$6),""))</f>
        <v>0.282511210762332</v>
      </c>
      <c r="R12" s="24"/>
    </row>
    <row r="13" customFormat="false" ht="15" hidden="false" customHeight="false" outlineLevel="0" collapsed="false">
      <c r="A13" s="16" t="n">
        <f aca="false">IF(B13="","",ROW()-10)</f>
        <v>3</v>
      </c>
      <c r="B13" s="18" t="s">
        <v>154</v>
      </c>
      <c r="C13" s="18" t="s">
        <v>50</v>
      </c>
      <c r="D13" s="18" t="s">
        <v>70</v>
      </c>
      <c r="E13" s="24"/>
      <c r="F13" s="24" t="s">
        <v>149</v>
      </c>
      <c r="G13" s="24" t="s">
        <v>150</v>
      </c>
      <c r="H13" s="24" t="s">
        <v>58</v>
      </c>
      <c r="I13" s="18" t="s">
        <v>64</v>
      </c>
      <c r="J13" s="29" t="s">
        <v>155</v>
      </c>
      <c r="K13" s="19" t="n">
        <v>38000</v>
      </c>
      <c r="L13" s="19" t="n">
        <v>49000</v>
      </c>
      <c r="M13" s="20" t="n">
        <v>55</v>
      </c>
      <c r="N13" s="21" t="n">
        <f aca="false">IF(B13="","",L13-K13)</f>
        <v>11000</v>
      </c>
      <c r="O13" s="22" t="n">
        <f aca="false">IF(B13="","",IF(K13=0,"",N13/K13))</f>
        <v>0.289473684210526</v>
      </c>
      <c r="P13" s="7" t="str">
        <f aca="false">IF(B13="","",IF(M13&lt;=設定!$C$6,IF(O13&gt;=設定!$C$7,"I(コア)","II(回転)"),IF(O13&gt;=設定!$C$7,"III(厳選)","IV(見送り)")))</f>
        <v>III(厳選)</v>
      </c>
      <c r="Q13" s="22" t="n">
        <f aca="false">IF(B13="","",IF(I13="在庫中",IF($C$6=0,"",L13/$C$6),""))</f>
        <v>0.439461883408072</v>
      </c>
      <c r="R13" s="18" t="s">
        <v>98</v>
      </c>
    </row>
    <row r="14" customFormat="false" ht="15" hidden="false" customHeight="false" outlineLevel="0" collapsed="false">
      <c r="A14" s="16" t="n">
        <f aca="false">IF(B14="","",ROW()-10)</f>
        <v>4</v>
      </c>
      <c r="B14" s="18" t="s">
        <v>156</v>
      </c>
      <c r="C14" s="18" t="s">
        <v>53</v>
      </c>
      <c r="D14" s="18" t="s">
        <v>69</v>
      </c>
      <c r="E14" s="18" t="s">
        <v>75</v>
      </c>
      <c r="F14" s="24" t="s">
        <v>150</v>
      </c>
      <c r="G14" s="24" t="s">
        <v>149</v>
      </c>
      <c r="H14" s="24" t="s">
        <v>59</v>
      </c>
      <c r="I14" s="18" t="s">
        <v>65</v>
      </c>
      <c r="J14" s="29" t="s">
        <v>157</v>
      </c>
      <c r="K14" s="19" t="n">
        <v>7000</v>
      </c>
      <c r="L14" s="19" t="n">
        <v>8300</v>
      </c>
      <c r="M14" s="20" t="n">
        <v>40</v>
      </c>
      <c r="N14" s="21" t="n">
        <f aca="false">IF(B14="","",L14-K14)</f>
        <v>1300</v>
      </c>
      <c r="O14" s="22" t="n">
        <f aca="false">IF(B14="","",IF(K14=0,"",N14/K14))</f>
        <v>0.185714285714286</v>
      </c>
      <c r="P14" s="7" t="str">
        <f aca="false">IF(B14="","",IF(M14&lt;=設定!$C$6,IF(O14&gt;=設定!$C$7,"I(コア)","II(回転)"),IF(O14&gt;=設定!$C$7,"III(厳選)","IV(見送り)")))</f>
        <v>IV(見送り)</v>
      </c>
      <c r="Q14" s="22" t="str">
        <f aca="false">IF(B14="","",IF(I14="在庫中",IF($C$6=0,"",L14/$C$6),""))</f>
        <v/>
      </c>
      <c r="R14" s="18" t="s">
        <v>100</v>
      </c>
    </row>
    <row r="15" customFormat="false" ht="15" hidden="false" customHeight="false" outlineLevel="0" collapsed="false">
      <c r="A15" s="16" t="n">
        <f aca="false">IF(B15="","",ROW()-10)</f>
        <v>5</v>
      </c>
      <c r="B15" s="18" t="s">
        <v>158</v>
      </c>
      <c r="C15" s="18" t="s">
        <v>52</v>
      </c>
      <c r="D15" s="24"/>
      <c r="E15" s="24"/>
      <c r="F15" s="24" t="s">
        <v>150</v>
      </c>
      <c r="G15" s="24" t="s">
        <v>150</v>
      </c>
      <c r="H15" s="24" t="s">
        <v>60</v>
      </c>
      <c r="I15" s="18" t="s">
        <v>66</v>
      </c>
      <c r="J15" s="29" t="s">
        <v>159</v>
      </c>
      <c r="K15" s="19" t="n">
        <v>5500</v>
      </c>
      <c r="L15" s="19" t="n">
        <v>5900</v>
      </c>
      <c r="M15" s="20" t="n">
        <v>88</v>
      </c>
      <c r="N15" s="21" t="n">
        <f aca="false">IF(B15="","",L15-K15)</f>
        <v>400</v>
      </c>
      <c r="O15" s="22" t="n">
        <f aca="false">IF(B15="","",IF(K15=0,"",N15/K15))</f>
        <v>0.0727272727272727</v>
      </c>
      <c r="P15" s="7" t="str">
        <f aca="false">IF(B15="","",IF(M15&lt;=設定!$C$6,IF(O15&gt;=設定!$C$7,"I(コア)","II(回転)"),IF(O15&gt;=設定!$C$7,"III(厳選)","IV(見送り)")))</f>
        <v>IV(見送り)</v>
      </c>
      <c r="Q15" s="22" t="str">
        <f aca="false">IF(B15="","",IF(I15="在庫中",IF($C$6=0,"",L15/$C$6),""))</f>
        <v/>
      </c>
      <c r="R15" s="24"/>
    </row>
    <row r="16" customFormat="false" ht="15" hidden="false" customHeight="false" outlineLevel="0" collapsed="false">
      <c r="A16" s="16" t="str">
        <f aca="false">IF(B16="","",ROW()-10)</f>
        <v/>
      </c>
      <c r="B16" s="24"/>
      <c r="C16" s="18"/>
      <c r="D16" s="24"/>
      <c r="E16" s="24"/>
      <c r="F16" s="24"/>
      <c r="G16" s="24"/>
      <c r="H16" s="24"/>
      <c r="I16" s="18"/>
      <c r="J16" s="29"/>
      <c r="K16" s="19"/>
      <c r="L16" s="19"/>
      <c r="M16" s="20"/>
      <c r="N16" s="21" t="str">
        <f aca="false">IF(B16="","",L16-K16)</f>
        <v/>
      </c>
      <c r="O16" s="22" t="str">
        <f aca="false">IF(B16="","",IF(K16=0,"",N16/K16))</f>
        <v/>
      </c>
      <c r="P16" s="7" t="str">
        <f aca="false">IF(B16="","",IF(M16&lt;=設定!$C$6,IF(O16&gt;=設定!$C$7,"I(コア)","II(回転)"),IF(O16&gt;=設定!$C$7,"III(厳選)","IV(見送り)")))</f>
        <v/>
      </c>
      <c r="Q16" s="22" t="str">
        <f aca="false">IF(B16="","",IF(I16="在庫中",IF($C$6=0,"",L16/$C$6),""))</f>
        <v/>
      </c>
      <c r="R16" s="24"/>
    </row>
    <row r="17" customFormat="false" ht="15" hidden="false" customHeight="false" outlineLevel="0" collapsed="false">
      <c r="A17" s="16" t="str">
        <f aca="false">IF(B17="","",ROW()-10)</f>
        <v/>
      </c>
      <c r="B17" s="24"/>
      <c r="C17" s="18"/>
      <c r="D17" s="24"/>
      <c r="E17" s="24"/>
      <c r="F17" s="24"/>
      <c r="G17" s="24"/>
      <c r="H17" s="24"/>
      <c r="I17" s="18"/>
      <c r="J17" s="29"/>
      <c r="K17" s="19"/>
      <c r="L17" s="19"/>
      <c r="M17" s="20"/>
      <c r="N17" s="21" t="str">
        <f aca="false">IF(B17="","",L17-K17)</f>
        <v/>
      </c>
      <c r="O17" s="22" t="str">
        <f aca="false">IF(B17="","",IF(K17=0,"",N17/K17))</f>
        <v/>
      </c>
      <c r="P17" s="7" t="str">
        <f aca="false">IF(B17="","",IF(M17&lt;=設定!$C$6,IF(O17&gt;=設定!$C$7,"I(コア)","II(回転)"),IF(O17&gt;=設定!$C$7,"III(厳選)","IV(見送り)")))</f>
        <v/>
      </c>
      <c r="Q17" s="22" t="str">
        <f aca="false">IF(B17="","",IF(I17="在庫中",IF($C$6=0,"",L17/$C$6),""))</f>
        <v/>
      </c>
      <c r="R17" s="24"/>
    </row>
    <row r="18" customFormat="false" ht="15" hidden="false" customHeight="false" outlineLevel="0" collapsed="false">
      <c r="A18" s="16" t="str">
        <f aca="false">IF(B18="","",ROW()-10)</f>
        <v/>
      </c>
      <c r="B18" s="24"/>
      <c r="C18" s="18"/>
      <c r="D18" s="24"/>
      <c r="E18" s="24"/>
      <c r="F18" s="24"/>
      <c r="G18" s="24"/>
      <c r="H18" s="24"/>
      <c r="I18" s="18"/>
      <c r="J18" s="29"/>
      <c r="K18" s="19"/>
      <c r="L18" s="19"/>
      <c r="M18" s="20"/>
      <c r="N18" s="21" t="str">
        <f aca="false">IF(B18="","",L18-K18)</f>
        <v/>
      </c>
      <c r="O18" s="22" t="str">
        <f aca="false">IF(B18="","",IF(K18=0,"",N18/K18))</f>
        <v/>
      </c>
      <c r="P18" s="7" t="str">
        <f aca="false">IF(B18="","",IF(M18&lt;=設定!$C$6,IF(O18&gt;=設定!$C$7,"I(コア)","II(回転)"),IF(O18&gt;=設定!$C$7,"III(厳選)","IV(見送り)")))</f>
        <v/>
      </c>
      <c r="Q18" s="22" t="str">
        <f aca="false">IF(B18="","",IF(I18="在庫中",IF($C$6=0,"",L18/$C$6),""))</f>
        <v/>
      </c>
      <c r="R18" s="24"/>
    </row>
    <row r="19" customFormat="false" ht="15" hidden="false" customHeight="false" outlineLevel="0" collapsed="false">
      <c r="A19" s="16" t="str">
        <f aca="false">IF(B19="","",ROW()-10)</f>
        <v/>
      </c>
      <c r="B19" s="24"/>
      <c r="C19" s="18"/>
      <c r="D19" s="24"/>
      <c r="E19" s="24"/>
      <c r="F19" s="24"/>
      <c r="G19" s="24"/>
      <c r="H19" s="24"/>
      <c r="I19" s="18"/>
      <c r="J19" s="29"/>
      <c r="K19" s="19"/>
      <c r="L19" s="19"/>
      <c r="M19" s="20"/>
      <c r="N19" s="21" t="str">
        <f aca="false">IF(B19="","",L19-K19)</f>
        <v/>
      </c>
      <c r="O19" s="22" t="str">
        <f aca="false">IF(B19="","",IF(K19=0,"",N19/K19))</f>
        <v/>
      </c>
      <c r="P19" s="7" t="str">
        <f aca="false">IF(B19="","",IF(M19&lt;=設定!$C$6,IF(O19&gt;=設定!$C$7,"I(コア)","II(回転)"),IF(O19&gt;=設定!$C$7,"III(厳選)","IV(見送り)")))</f>
        <v/>
      </c>
      <c r="Q19" s="22" t="str">
        <f aca="false">IF(B19="","",IF(I19="在庫中",IF($C$6=0,"",L19/$C$6),""))</f>
        <v/>
      </c>
      <c r="R19" s="24"/>
    </row>
    <row r="20" customFormat="false" ht="15" hidden="false" customHeight="false" outlineLevel="0" collapsed="false">
      <c r="A20" s="16" t="str">
        <f aca="false">IF(B20="","",ROW()-10)</f>
        <v/>
      </c>
      <c r="B20" s="24"/>
      <c r="C20" s="18"/>
      <c r="D20" s="24"/>
      <c r="E20" s="24"/>
      <c r="F20" s="24"/>
      <c r="G20" s="24"/>
      <c r="H20" s="24"/>
      <c r="I20" s="18"/>
      <c r="J20" s="29"/>
      <c r="K20" s="19"/>
      <c r="L20" s="19"/>
      <c r="M20" s="20"/>
      <c r="N20" s="21" t="str">
        <f aca="false">IF(B20="","",L20-K20)</f>
        <v/>
      </c>
      <c r="O20" s="22" t="str">
        <f aca="false">IF(B20="","",IF(K20=0,"",N20/K20))</f>
        <v/>
      </c>
      <c r="P20" s="7" t="str">
        <f aca="false">IF(B20="","",IF(M20&lt;=設定!$C$6,IF(O20&gt;=設定!$C$7,"I(コア)","II(回転)"),IF(O20&gt;=設定!$C$7,"III(厳選)","IV(見送り)")))</f>
        <v/>
      </c>
      <c r="Q20" s="22" t="str">
        <f aca="false">IF(B20="","",IF(I20="在庫中",IF($C$6=0,"",L20/$C$6),""))</f>
        <v/>
      </c>
      <c r="R20" s="24"/>
    </row>
    <row r="21" customFormat="false" ht="15" hidden="false" customHeight="false" outlineLevel="0" collapsed="false">
      <c r="A21" s="16" t="str">
        <f aca="false">IF(B21="","",ROW()-10)</f>
        <v/>
      </c>
      <c r="B21" s="24"/>
      <c r="C21" s="18"/>
      <c r="D21" s="24"/>
      <c r="E21" s="24"/>
      <c r="F21" s="24"/>
      <c r="G21" s="24"/>
      <c r="H21" s="24"/>
      <c r="I21" s="18"/>
      <c r="J21" s="29"/>
      <c r="K21" s="19"/>
      <c r="L21" s="19"/>
      <c r="M21" s="20"/>
      <c r="N21" s="21" t="str">
        <f aca="false">IF(B21="","",L21-K21)</f>
        <v/>
      </c>
      <c r="O21" s="22" t="str">
        <f aca="false">IF(B21="","",IF(K21=0,"",N21/K21))</f>
        <v/>
      </c>
      <c r="P21" s="7" t="str">
        <f aca="false">IF(B21="","",IF(M21&lt;=設定!$C$6,IF(O21&gt;=設定!$C$7,"I(コア)","II(回転)"),IF(O21&gt;=設定!$C$7,"III(厳選)","IV(見送り)")))</f>
        <v/>
      </c>
      <c r="Q21" s="22" t="str">
        <f aca="false">IF(B21="","",IF(I21="在庫中",IF($C$6=0,"",L21/$C$6),""))</f>
        <v/>
      </c>
      <c r="R21" s="24"/>
    </row>
    <row r="22" customFormat="false" ht="15" hidden="false" customHeight="false" outlineLevel="0" collapsed="false">
      <c r="A22" s="16" t="str">
        <f aca="false">IF(B22="","",ROW()-10)</f>
        <v/>
      </c>
      <c r="B22" s="24"/>
      <c r="C22" s="18"/>
      <c r="D22" s="24"/>
      <c r="E22" s="24"/>
      <c r="F22" s="24"/>
      <c r="G22" s="24"/>
      <c r="H22" s="24"/>
      <c r="I22" s="18"/>
      <c r="J22" s="29"/>
      <c r="K22" s="19"/>
      <c r="L22" s="19"/>
      <c r="M22" s="20"/>
      <c r="N22" s="21" t="str">
        <f aca="false">IF(B22="","",L22-K22)</f>
        <v/>
      </c>
      <c r="O22" s="22" t="str">
        <f aca="false">IF(B22="","",IF(K22=0,"",N22/K22))</f>
        <v/>
      </c>
      <c r="P22" s="7" t="str">
        <f aca="false">IF(B22="","",IF(M22&lt;=設定!$C$6,IF(O22&gt;=設定!$C$7,"I(コア)","II(回転)"),IF(O22&gt;=設定!$C$7,"III(厳選)","IV(見送り)")))</f>
        <v/>
      </c>
      <c r="Q22" s="22" t="str">
        <f aca="false">IF(B22="","",IF(I22="在庫中",IF($C$6=0,"",L22/$C$6),""))</f>
        <v/>
      </c>
      <c r="R22" s="24"/>
    </row>
    <row r="23" customFormat="false" ht="15" hidden="false" customHeight="false" outlineLevel="0" collapsed="false">
      <c r="A23" s="16" t="str">
        <f aca="false">IF(B23="","",ROW()-10)</f>
        <v/>
      </c>
      <c r="B23" s="24"/>
      <c r="C23" s="18"/>
      <c r="D23" s="24"/>
      <c r="E23" s="24"/>
      <c r="F23" s="24"/>
      <c r="G23" s="24"/>
      <c r="H23" s="24"/>
      <c r="I23" s="18"/>
      <c r="J23" s="29"/>
      <c r="K23" s="19"/>
      <c r="L23" s="19"/>
      <c r="M23" s="20"/>
      <c r="N23" s="21" t="str">
        <f aca="false">IF(B23="","",L23-K23)</f>
        <v/>
      </c>
      <c r="O23" s="22" t="str">
        <f aca="false">IF(B23="","",IF(K23=0,"",N23/K23))</f>
        <v/>
      </c>
      <c r="P23" s="7" t="str">
        <f aca="false">IF(B23="","",IF(M23&lt;=設定!$C$6,IF(O23&gt;=設定!$C$7,"I(コア)","II(回転)"),IF(O23&gt;=設定!$C$7,"III(厳選)","IV(見送り)")))</f>
        <v/>
      </c>
      <c r="Q23" s="22" t="str">
        <f aca="false">IF(B23="","",IF(I23="在庫中",IF($C$6=0,"",L23/$C$6),""))</f>
        <v/>
      </c>
      <c r="R23" s="24"/>
    </row>
    <row r="24" customFormat="false" ht="15" hidden="false" customHeight="false" outlineLevel="0" collapsed="false">
      <c r="A24" s="16" t="str">
        <f aca="false">IF(B24="","",ROW()-10)</f>
        <v/>
      </c>
      <c r="B24" s="24"/>
      <c r="C24" s="18"/>
      <c r="D24" s="24"/>
      <c r="E24" s="24"/>
      <c r="F24" s="24"/>
      <c r="G24" s="24"/>
      <c r="H24" s="24"/>
      <c r="I24" s="18"/>
      <c r="J24" s="29"/>
      <c r="K24" s="19"/>
      <c r="L24" s="19"/>
      <c r="M24" s="20"/>
      <c r="N24" s="21" t="str">
        <f aca="false">IF(B24="","",L24-K24)</f>
        <v/>
      </c>
      <c r="O24" s="22" t="str">
        <f aca="false">IF(B24="","",IF(K24=0,"",N24/K24))</f>
        <v/>
      </c>
      <c r="P24" s="7" t="str">
        <f aca="false">IF(B24="","",IF(M24&lt;=設定!$C$6,IF(O24&gt;=設定!$C$7,"I(コア)","II(回転)"),IF(O24&gt;=設定!$C$7,"III(厳選)","IV(見送り)")))</f>
        <v/>
      </c>
      <c r="Q24" s="22" t="str">
        <f aca="false">IF(B24="","",IF(I24="在庫中",IF($C$6=0,"",L24/$C$6),""))</f>
        <v/>
      </c>
      <c r="R24" s="24"/>
    </row>
    <row r="25" customFormat="false" ht="15" hidden="false" customHeight="false" outlineLevel="0" collapsed="false">
      <c r="A25" s="16" t="str">
        <f aca="false">IF(B25="","",ROW()-10)</f>
        <v/>
      </c>
      <c r="B25" s="24"/>
      <c r="C25" s="18"/>
      <c r="D25" s="24"/>
      <c r="E25" s="24"/>
      <c r="F25" s="24"/>
      <c r="G25" s="24"/>
      <c r="H25" s="24"/>
      <c r="I25" s="18"/>
      <c r="J25" s="29"/>
      <c r="K25" s="19"/>
      <c r="L25" s="19"/>
      <c r="M25" s="20"/>
      <c r="N25" s="21" t="str">
        <f aca="false">IF(B25="","",L25-K25)</f>
        <v/>
      </c>
      <c r="O25" s="22" t="str">
        <f aca="false">IF(B25="","",IF(K25=0,"",N25/K25))</f>
        <v/>
      </c>
      <c r="P25" s="7" t="str">
        <f aca="false">IF(B25="","",IF(M25&lt;=設定!$C$6,IF(O25&gt;=設定!$C$7,"I(コア)","II(回転)"),IF(O25&gt;=設定!$C$7,"III(厳選)","IV(見送り)")))</f>
        <v/>
      </c>
      <c r="Q25" s="22" t="str">
        <f aca="false">IF(B25="","",IF(I25="在庫中",IF($C$6=0,"",L25/$C$6),""))</f>
        <v/>
      </c>
      <c r="R25" s="24"/>
    </row>
    <row r="26" customFormat="false" ht="15" hidden="false" customHeight="false" outlineLevel="0" collapsed="false">
      <c r="A26" s="16" t="str">
        <f aca="false">IF(B26="","",ROW()-10)</f>
        <v/>
      </c>
      <c r="B26" s="24"/>
      <c r="C26" s="18"/>
      <c r="D26" s="24"/>
      <c r="E26" s="24"/>
      <c r="F26" s="24"/>
      <c r="G26" s="24"/>
      <c r="H26" s="24"/>
      <c r="I26" s="18"/>
      <c r="J26" s="29"/>
      <c r="K26" s="19"/>
      <c r="L26" s="19"/>
      <c r="M26" s="20"/>
      <c r="N26" s="21" t="str">
        <f aca="false">IF(B26="","",L26-K26)</f>
        <v/>
      </c>
      <c r="O26" s="22" t="str">
        <f aca="false">IF(B26="","",IF(K26=0,"",N26/K26))</f>
        <v/>
      </c>
      <c r="P26" s="7" t="str">
        <f aca="false">IF(B26="","",IF(M26&lt;=設定!$C$6,IF(O26&gt;=設定!$C$7,"I(コア)","II(回転)"),IF(O26&gt;=設定!$C$7,"III(厳選)","IV(見送り)")))</f>
        <v/>
      </c>
      <c r="Q26" s="22" t="str">
        <f aca="false">IF(B26="","",IF(I26="在庫中",IF($C$6=0,"",L26/$C$6),""))</f>
        <v/>
      </c>
      <c r="R26" s="24"/>
    </row>
    <row r="27" customFormat="false" ht="15" hidden="false" customHeight="false" outlineLevel="0" collapsed="false">
      <c r="A27" s="16" t="str">
        <f aca="false">IF(B27="","",ROW()-10)</f>
        <v/>
      </c>
      <c r="B27" s="24"/>
      <c r="C27" s="18"/>
      <c r="D27" s="24"/>
      <c r="E27" s="24"/>
      <c r="F27" s="24"/>
      <c r="G27" s="24"/>
      <c r="H27" s="24"/>
      <c r="I27" s="18"/>
      <c r="J27" s="29"/>
      <c r="K27" s="19"/>
      <c r="L27" s="19"/>
      <c r="M27" s="20"/>
      <c r="N27" s="21" t="str">
        <f aca="false">IF(B27="","",L27-K27)</f>
        <v/>
      </c>
      <c r="O27" s="22" t="str">
        <f aca="false">IF(B27="","",IF(K27=0,"",N27/K27))</f>
        <v/>
      </c>
      <c r="P27" s="7" t="str">
        <f aca="false">IF(B27="","",IF(M27&lt;=設定!$C$6,IF(O27&gt;=設定!$C$7,"I(コア)","II(回転)"),IF(O27&gt;=設定!$C$7,"III(厳選)","IV(見送り)")))</f>
        <v/>
      </c>
      <c r="Q27" s="22" t="str">
        <f aca="false">IF(B27="","",IF(I27="在庫中",IF($C$6=0,"",L27/$C$6),""))</f>
        <v/>
      </c>
      <c r="R27" s="24"/>
    </row>
    <row r="28" customFormat="false" ht="15" hidden="false" customHeight="false" outlineLevel="0" collapsed="false">
      <c r="A28" s="16" t="str">
        <f aca="false">IF(B28="","",ROW()-10)</f>
        <v/>
      </c>
      <c r="B28" s="24"/>
      <c r="C28" s="18"/>
      <c r="D28" s="24"/>
      <c r="E28" s="24"/>
      <c r="F28" s="24"/>
      <c r="G28" s="24"/>
      <c r="H28" s="24"/>
      <c r="I28" s="18"/>
      <c r="J28" s="29"/>
      <c r="K28" s="19"/>
      <c r="L28" s="19"/>
      <c r="M28" s="20"/>
      <c r="N28" s="21" t="str">
        <f aca="false">IF(B28="","",L28-K28)</f>
        <v/>
      </c>
      <c r="O28" s="22" t="str">
        <f aca="false">IF(B28="","",IF(K28=0,"",N28/K28))</f>
        <v/>
      </c>
      <c r="P28" s="7" t="str">
        <f aca="false">IF(B28="","",IF(M28&lt;=設定!$C$6,IF(O28&gt;=設定!$C$7,"I(コア)","II(回転)"),IF(O28&gt;=設定!$C$7,"III(厳選)","IV(見送り)")))</f>
        <v/>
      </c>
      <c r="Q28" s="22" t="str">
        <f aca="false">IF(B28="","",IF(I28="在庫中",IF($C$6=0,"",L28/$C$6),""))</f>
        <v/>
      </c>
      <c r="R28" s="24"/>
    </row>
    <row r="29" customFormat="false" ht="15" hidden="false" customHeight="false" outlineLevel="0" collapsed="false">
      <c r="A29" s="16" t="str">
        <f aca="false">IF(B29="","",ROW()-10)</f>
        <v/>
      </c>
      <c r="B29" s="24"/>
      <c r="C29" s="18"/>
      <c r="D29" s="24"/>
      <c r="E29" s="24"/>
      <c r="F29" s="24"/>
      <c r="G29" s="24"/>
      <c r="H29" s="24"/>
      <c r="I29" s="18"/>
      <c r="J29" s="29"/>
      <c r="K29" s="19"/>
      <c r="L29" s="19"/>
      <c r="M29" s="20"/>
      <c r="N29" s="21" t="str">
        <f aca="false">IF(B29="","",L29-K29)</f>
        <v/>
      </c>
      <c r="O29" s="22" t="str">
        <f aca="false">IF(B29="","",IF(K29=0,"",N29/K29))</f>
        <v/>
      </c>
      <c r="P29" s="7" t="str">
        <f aca="false">IF(B29="","",IF(M29&lt;=設定!$C$6,IF(O29&gt;=設定!$C$7,"I(コア)","II(回転)"),IF(O29&gt;=設定!$C$7,"III(厳選)","IV(見送り)")))</f>
        <v/>
      </c>
      <c r="Q29" s="22" t="str">
        <f aca="false">IF(B29="","",IF(I29="在庫中",IF($C$6=0,"",L29/$C$6),""))</f>
        <v/>
      </c>
      <c r="R29" s="24"/>
    </row>
    <row r="30" customFormat="false" ht="15" hidden="false" customHeight="false" outlineLevel="0" collapsed="false">
      <c r="A30" s="16" t="str">
        <f aca="false">IF(B30="","",ROW()-10)</f>
        <v/>
      </c>
      <c r="B30" s="24"/>
      <c r="C30" s="18"/>
      <c r="D30" s="24"/>
      <c r="E30" s="24"/>
      <c r="F30" s="24"/>
      <c r="G30" s="24"/>
      <c r="H30" s="24"/>
      <c r="I30" s="18"/>
      <c r="J30" s="29"/>
      <c r="K30" s="19"/>
      <c r="L30" s="19"/>
      <c r="M30" s="20"/>
      <c r="N30" s="21" t="str">
        <f aca="false">IF(B30="","",L30-K30)</f>
        <v/>
      </c>
      <c r="O30" s="22" t="str">
        <f aca="false">IF(B30="","",IF(K30=0,"",N30/K30))</f>
        <v/>
      </c>
      <c r="P30" s="7" t="str">
        <f aca="false">IF(B30="","",IF(M30&lt;=設定!$C$6,IF(O30&gt;=設定!$C$7,"I(コア)","II(回転)"),IF(O30&gt;=設定!$C$7,"III(厳選)","IV(見送り)")))</f>
        <v/>
      </c>
      <c r="Q30" s="22" t="str">
        <f aca="false">IF(B30="","",IF(I30="在庫中",IF($C$6=0,"",L30/$C$6),""))</f>
        <v/>
      </c>
      <c r="R30" s="24"/>
    </row>
    <row r="31" customFormat="false" ht="15" hidden="false" customHeight="false" outlineLevel="0" collapsed="false">
      <c r="A31" s="16" t="str">
        <f aca="false">IF(B31="","",ROW()-10)</f>
        <v/>
      </c>
      <c r="B31" s="24"/>
      <c r="C31" s="18"/>
      <c r="D31" s="24"/>
      <c r="E31" s="24"/>
      <c r="F31" s="24"/>
      <c r="G31" s="24"/>
      <c r="H31" s="24"/>
      <c r="I31" s="18"/>
      <c r="J31" s="29"/>
      <c r="K31" s="19"/>
      <c r="L31" s="19"/>
      <c r="M31" s="20"/>
      <c r="N31" s="21" t="str">
        <f aca="false">IF(B31="","",L31-K31)</f>
        <v/>
      </c>
      <c r="O31" s="22" t="str">
        <f aca="false">IF(B31="","",IF(K31=0,"",N31/K31))</f>
        <v/>
      </c>
      <c r="P31" s="7" t="str">
        <f aca="false">IF(B31="","",IF(M31&lt;=設定!$C$6,IF(O31&gt;=設定!$C$7,"I(コア)","II(回転)"),IF(O31&gt;=設定!$C$7,"III(厳選)","IV(見送り)")))</f>
        <v/>
      </c>
      <c r="Q31" s="22" t="str">
        <f aca="false">IF(B31="","",IF(I31="在庫中",IF($C$6=0,"",L31/$C$6),""))</f>
        <v/>
      </c>
      <c r="R31" s="24"/>
    </row>
    <row r="32" customFormat="false" ht="15" hidden="false" customHeight="false" outlineLevel="0" collapsed="false">
      <c r="A32" s="16" t="str">
        <f aca="false">IF(B32="","",ROW()-10)</f>
        <v/>
      </c>
      <c r="B32" s="24"/>
      <c r="C32" s="18"/>
      <c r="D32" s="24"/>
      <c r="E32" s="24"/>
      <c r="F32" s="24"/>
      <c r="G32" s="24"/>
      <c r="H32" s="24"/>
      <c r="I32" s="18"/>
      <c r="J32" s="29"/>
      <c r="K32" s="19"/>
      <c r="L32" s="19"/>
      <c r="M32" s="20"/>
      <c r="N32" s="21" t="str">
        <f aca="false">IF(B32="","",L32-K32)</f>
        <v/>
      </c>
      <c r="O32" s="22" t="str">
        <f aca="false">IF(B32="","",IF(K32=0,"",N32/K32))</f>
        <v/>
      </c>
      <c r="P32" s="7" t="str">
        <f aca="false">IF(B32="","",IF(M32&lt;=設定!$C$6,IF(O32&gt;=設定!$C$7,"I(コア)","II(回転)"),IF(O32&gt;=設定!$C$7,"III(厳選)","IV(見送り)")))</f>
        <v/>
      </c>
      <c r="Q32" s="22" t="str">
        <f aca="false">IF(B32="","",IF(I32="在庫中",IF($C$6=0,"",L32/$C$6),""))</f>
        <v/>
      </c>
      <c r="R32" s="24"/>
    </row>
    <row r="33" customFormat="false" ht="15" hidden="false" customHeight="false" outlineLevel="0" collapsed="false">
      <c r="A33" s="16" t="str">
        <f aca="false">IF(B33="","",ROW()-10)</f>
        <v/>
      </c>
      <c r="B33" s="24"/>
      <c r="C33" s="18"/>
      <c r="D33" s="24"/>
      <c r="E33" s="24"/>
      <c r="F33" s="24"/>
      <c r="G33" s="24"/>
      <c r="H33" s="24"/>
      <c r="I33" s="18"/>
      <c r="J33" s="29"/>
      <c r="K33" s="19"/>
      <c r="L33" s="19"/>
      <c r="M33" s="20"/>
      <c r="N33" s="21" t="str">
        <f aca="false">IF(B33="","",L33-K33)</f>
        <v/>
      </c>
      <c r="O33" s="22" t="str">
        <f aca="false">IF(B33="","",IF(K33=0,"",N33/K33))</f>
        <v/>
      </c>
      <c r="P33" s="7" t="str">
        <f aca="false">IF(B33="","",IF(M33&lt;=設定!$C$6,IF(O33&gt;=設定!$C$7,"I(コア)","II(回転)"),IF(O33&gt;=設定!$C$7,"III(厳選)","IV(見送り)")))</f>
        <v/>
      </c>
      <c r="Q33" s="22" t="str">
        <f aca="false">IF(B33="","",IF(I33="在庫中",IF($C$6=0,"",L33/$C$6),""))</f>
        <v/>
      </c>
      <c r="R33" s="24"/>
    </row>
    <row r="34" customFormat="false" ht="15" hidden="false" customHeight="false" outlineLevel="0" collapsed="false">
      <c r="A34" s="16" t="str">
        <f aca="false">IF(B34="","",ROW()-10)</f>
        <v/>
      </c>
      <c r="B34" s="24"/>
      <c r="C34" s="18"/>
      <c r="D34" s="24"/>
      <c r="E34" s="24"/>
      <c r="F34" s="24"/>
      <c r="G34" s="24"/>
      <c r="H34" s="24"/>
      <c r="I34" s="18"/>
      <c r="J34" s="29"/>
      <c r="K34" s="19"/>
      <c r="L34" s="19"/>
      <c r="M34" s="20"/>
      <c r="N34" s="21" t="str">
        <f aca="false">IF(B34="","",L34-K34)</f>
        <v/>
      </c>
      <c r="O34" s="22" t="str">
        <f aca="false">IF(B34="","",IF(K34=0,"",N34/K34))</f>
        <v/>
      </c>
      <c r="P34" s="7" t="str">
        <f aca="false">IF(B34="","",IF(M34&lt;=設定!$C$6,IF(O34&gt;=設定!$C$7,"I(コア)","II(回転)"),IF(O34&gt;=設定!$C$7,"III(厳選)","IV(見送り)")))</f>
        <v/>
      </c>
      <c r="Q34" s="22" t="str">
        <f aca="false">IF(B34="","",IF(I34="在庫中",IF($C$6=0,"",L34/$C$6),""))</f>
        <v/>
      </c>
      <c r="R34" s="24"/>
    </row>
    <row r="35" customFormat="false" ht="15" hidden="false" customHeight="false" outlineLevel="0" collapsed="false">
      <c r="A35" s="16" t="str">
        <f aca="false">IF(B35="","",ROW()-10)</f>
        <v/>
      </c>
      <c r="B35" s="24"/>
      <c r="C35" s="18"/>
      <c r="D35" s="24"/>
      <c r="E35" s="24"/>
      <c r="F35" s="24"/>
      <c r="G35" s="24"/>
      <c r="H35" s="24"/>
      <c r="I35" s="18"/>
      <c r="J35" s="29"/>
      <c r="K35" s="19"/>
      <c r="L35" s="19"/>
      <c r="M35" s="20"/>
      <c r="N35" s="21" t="str">
        <f aca="false">IF(B35="","",L35-K35)</f>
        <v/>
      </c>
      <c r="O35" s="22" t="str">
        <f aca="false">IF(B35="","",IF(K35=0,"",N35/K35))</f>
        <v/>
      </c>
      <c r="P35" s="7" t="str">
        <f aca="false">IF(B35="","",IF(M35&lt;=設定!$C$6,IF(O35&gt;=設定!$C$7,"I(コア)","II(回転)"),IF(O35&gt;=設定!$C$7,"III(厳選)","IV(見送り)")))</f>
        <v/>
      </c>
      <c r="Q35" s="22" t="str">
        <f aca="false">IF(B35="","",IF(I35="在庫中",IF($C$6=0,"",L35/$C$6),""))</f>
        <v/>
      </c>
      <c r="R35" s="24"/>
    </row>
    <row r="36" customFormat="false" ht="15" hidden="false" customHeight="false" outlineLevel="0" collapsed="false">
      <c r="A36" s="16" t="str">
        <f aca="false">IF(B36="","",ROW()-10)</f>
        <v/>
      </c>
      <c r="B36" s="24"/>
      <c r="C36" s="18"/>
      <c r="D36" s="24"/>
      <c r="E36" s="24"/>
      <c r="F36" s="24"/>
      <c r="G36" s="24"/>
      <c r="H36" s="24"/>
      <c r="I36" s="18"/>
      <c r="J36" s="29"/>
      <c r="K36" s="19"/>
      <c r="L36" s="19"/>
      <c r="M36" s="20"/>
      <c r="N36" s="21" t="str">
        <f aca="false">IF(B36="","",L36-K36)</f>
        <v/>
      </c>
      <c r="O36" s="22" t="str">
        <f aca="false">IF(B36="","",IF(K36=0,"",N36/K36))</f>
        <v/>
      </c>
      <c r="P36" s="7" t="str">
        <f aca="false">IF(B36="","",IF(M36&lt;=設定!$C$6,IF(O36&gt;=設定!$C$7,"I(コア)","II(回転)"),IF(O36&gt;=設定!$C$7,"III(厳選)","IV(見送り)")))</f>
        <v/>
      </c>
      <c r="Q36" s="22" t="str">
        <f aca="false">IF(B36="","",IF(I36="在庫中",IF($C$6=0,"",L36/$C$6),""))</f>
        <v/>
      </c>
      <c r="R36" s="24"/>
    </row>
    <row r="37" customFormat="false" ht="15" hidden="false" customHeight="false" outlineLevel="0" collapsed="false">
      <c r="A37" s="16" t="str">
        <f aca="false">IF(B37="","",ROW()-10)</f>
        <v/>
      </c>
      <c r="B37" s="24"/>
      <c r="C37" s="18"/>
      <c r="D37" s="24"/>
      <c r="E37" s="24"/>
      <c r="F37" s="24"/>
      <c r="G37" s="24"/>
      <c r="H37" s="24"/>
      <c r="I37" s="18"/>
      <c r="J37" s="29"/>
      <c r="K37" s="19"/>
      <c r="L37" s="19"/>
      <c r="M37" s="20"/>
      <c r="N37" s="21" t="str">
        <f aca="false">IF(B37="","",L37-K37)</f>
        <v/>
      </c>
      <c r="O37" s="22" t="str">
        <f aca="false">IF(B37="","",IF(K37=0,"",N37/K37))</f>
        <v/>
      </c>
      <c r="P37" s="7" t="str">
        <f aca="false">IF(B37="","",IF(M37&lt;=設定!$C$6,IF(O37&gt;=設定!$C$7,"I(コア)","II(回転)"),IF(O37&gt;=設定!$C$7,"III(厳選)","IV(見送り)")))</f>
        <v/>
      </c>
      <c r="Q37" s="22" t="str">
        <f aca="false">IF(B37="","",IF(I37="在庫中",IF($C$6=0,"",L37/$C$6),""))</f>
        <v/>
      </c>
      <c r="R37" s="24"/>
    </row>
    <row r="38" customFormat="false" ht="15" hidden="false" customHeight="false" outlineLevel="0" collapsed="false">
      <c r="A38" s="16" t="str">
        <f aca="false">IF(B38="","",ROW()-10)</f>
        <v/>
      </c>
      <c r="B38" s="24"/>
      <c r="C38" s="18"/>
      <c r="D38" s="24"/>
      <c r="E38" s="24"/>
      <c r="F38" s="24"/>
      <c r="G38" s="24"/>
      <c r="H38" s="24"/>
      <c r="I38" s="18"/>
      <c r="J38" s="29"/>
      <c r="K38" s="19"/>
      <c r="L38" s="19"/>
      <c r="M38" s="20"/>
      <c r="N38" s="21" t="str">
        <f aca="false">IF(B38="","",L38-K38)</f>
        <v/>
      </c>
      <c r="O38" s="22" t="str">
        <f aca="false">IF(B38="","",IF(K38=0,"",N38/K38))</f>
        <v/>
      </c>
      <c r="P38" s="7" t="str">
        <f aca="false">IF(B38="","",IF(M38&lt;=設定!$C$6,IF(O38&gt;=設定!$C$7,"I(コア)","II(回転)"),IF(O38&gt;=設定!$C$7,"III(厳選)","IV(見送り)")))</f>
        <v/>
      </c>
      <c r="Q38" s="22" t="str">
        <f aca="false">IF(B38="","",IF(I38="在庫中",IF($C$6=0,"",L38/$C$6),""))</f>
        <v/>
      </c>
      <c r="R38" s="24"/>
    </row>
    <row r="39" customFormat="false" ht="15" hidden="false" customHeight="false" outlineLevel="0" collapsed="false">
      <c r="A39" s="16" t="str">
        <f aca="false">IF(B39="","",ROW()-10)</f>
        <v/>
      </c>
      <c r="B39" s="24"/>
      <c r="C39" s="18"/>
      <c r="D39" s="24"/>
      <c r="E39" s="24"/>
      <c r="F39" s="24"/>
      <c r="G39" s="24"/>
      <c r="H39" s="24"/>
      <c r="I39" s="18"/>
      <c r="J39" s="29"/>
      <c r="K39" s="19"/>
      <c r="L39" s="19"/>
      <c r="M39" s="20"/>
      <c r="N39" s="21" t="str">
        <f aca="false">IF(B39="","",L39-K39)</f>
        <v/>
      </c>
      <c r="O39" s="22" t="str">
        <f aca="false">IF(B39="","",IF(K39=0,"",N39/K39))</f>
        <v/>
      </c>
      <c r="P39" s="7" t="str">
        <f aca="false">IF(B39="","",IF(M39&lt;=設定!$C$6,IF(O39&gt;=設定!$C$7,"I(コア)","II(回転)"),IF(O39&gt;=設定!$C$7,"III(厳選)","IV(見送り)")))</f>
        <v/>
      </c>
      <c r="Q39" s="22" t="str">
        <f aca="false">IF(B39="","",IF(I39="在庫中",IF($C$6=0,"",L39/$C$6),""))</f>
        <v/>
      </c>
      <c r="R39" s="24"/>
    </row>
    <row r="40" customFormat="false" ht="15" hidden="false" customHeight="false" outlineLevel="0" collapsed="false">
      <c r="A40" s="16" t="str">
        <f aca="false">IF(B40="","",ROW()-10)</f>
        <v/>
      </c>
      <c r="B40" s="24"/>
      <c r="C40" s="18"/>
      <c r="D40" s="24"/>
      <c r="E40" s="24"/>
      <c r="F40" s="24"/>
      <c r="G40" s="24"/>
      <c r="H40" s="24"/>
      <c r="I40" s="18"/>
      <c r="J40" s="29"/>
      <c r="K40" s="19"/>
      <c r="L40" s="19"/>
      <c r="M40" s="20"/>
      <c r="N40" s="21" t="str">
        <f aca="false">IF(B40="","",L40-K40)</f>
        <v/>
      </c>
      <c r="O40" s="22" t="str">
        <f aca="false">IF(B40="","",IF(K40=0,"",N40/K40))</f>
        <v/>
      </c>
      <c r="P40" s="7" t="str">
        <f aca="false">IF(B40="","",IF(M40&lt;=設定!$C$6,IF(O40&gt;=設定!$C$7,"I(コア)","II(回転)"),IF(O40&gt;=設定!$C$7,"III(厳選)","IV(見送り)")))</f>
        <v/>
      </c>
      <c r="Q40" s="22" t="str">
        <f aca="false">IF(B40="","",IF(I40="在庫中",IF($C$6=0,"",L40/$C$6),""))</f>
        <v/>
      </c>
      <c r="R40" s="24"/>
    </row>
    <row r="41" customFormat="false" ht="15" hidden="false" customHeight="false" outlineLevel="0" collapsed="false">
      <c r="A41" s="16" t="str">
        <f aca="false">IF(B41="","",ROW()-10)</f>
        <v/>
      </c>
      <c r="B41" s="24"/>
      <c r="C41" s="18"/>
      <c r="D41" s="24"/>
      <c r="E41" s="24"/>
      <c r="F41" s="24"/>
      <c r="G41" s="24"/>
      <c r="H41" s="24"/>
      <c r="I41" s="18"/>
      <c r="J41" s="29"/>
      <c r="K41" s="19"/>
      <c r="L41" s="19"/>
      <c r="M41" s="20"/>
      <c r="N41" s="21" t="str">
        <f aca="false">IF(B41="","",L41-K41)</f>
        <v/>
      </c>
      <c r="O41" s="22" t="str">
        <f aca="false">IF(B41="","",IF(K41=0,"",N41/K41))</f>
        <v/>
      </c>
      <c r="P41" s="7" t="str">
        <f aca="false">IF(B41="","",IF(M41&lt;=設定!$C$6,IF(O41&gt;=設定!$C$7,"I(コア)","II(回転)"),IF(O41&gt;=設定!$C$7,"III(厳選)","IV(見送り)")))</f>
        <v/>
      </c>
      <c r="Q41" s="22" t="str">
        <f aca="false">IF(B41="","",IF(I41="在庫中",IF($C$6=0,"",L41/$C$6),""))</f>
        <v/>
      </c>
      <c r="R41" s="24"/>
    </row>
    <row r="42" customFormat="false" ht="15" hidden="false" customHeight="false" outlineLevel="0" collapsed="false">
      <c r="A42" s="16" t="str">
        <f aca="false">IF(B42="","",ROW()-10)</f>
        <v/>
      </c>
      <c r="B42" s="24"/>
      <c r="C42" s="18"/>
      <c r="D42" s="24"/>
      <c r="E42" s="24"/>
      <c r="F42" s="24"/>
      <c r="G42" s="24"/>
      <c r="H42" s="24"/>
      <c r="I42" s="18"/>
      <c r="J42" s="29"/>
      <c r="K42" s="19"/>
      <c r="L42" s="19"/>
      <c r="M42" s="20"/>
      <c r="N42" s="21" t="str">
        <f aca="false">IF(B42="","",L42-K42)</f>
        <v/>
      </c>
      <c r="O42" s="22" t="str">
        <f aca="false">IF(B42="","",IF(K42=0,"",N42/K42))</f>
        <v/>
      </c>
      <c r="P42" s="7" t="str">
        <f aca="false">IF(B42="","",IF(M42&lt;=設定!$C$6,IF(O42&gt;=設定!$C$7,"I(コア)","II(回転)"),IF(O42&gt;=設定!$C$7,"III(厳選)","IV(見送り)")))</f>
        <v/>
      </c>
      <c r="Q42" s="22" t="str">
        <f aca="false">IF(B42="","",IF(I42="在庫中",IF($C$6=0,"",L42/$C$6),""))</f>
        <v/>
      </c>
      <c r="R42" s="24"/>
    </row>
    <row r="43" customFormat="false" ht="15" hidden="false" customHeight="false" outlineLevel="0" collapsed="false">
      <c r="A43" s="16" t="str">
        <f aca="false">IF(B43="","",ROW()-10)</f>
        <v/>
      </c>
      <c r="B43" s="24"/>
      <c r="C43" s="18"/>
      <c r="D43" s="24"/>
      <c r="E43" s="24"/>
      <c r="F43" s="24"/>
      <c r="G43" s="24"/>
      <c r="H43" s="24"/>
      <c r="I43" s="18"/>
      <c r="J43" s="29"/>
      <c r="K43" s="19"/>
      <c r="L43" s="19"/>
      <c r="M43" s="20"/>
      <c r="N43" s="21" t="str">
        <f aca="false">IF(B43="","",L43-K43)</f>
        <v/>
      </c>
      <c r="O43" s="22" t="str">
        <f aca="false">IF(B43="","",IF(K43=0,"",N43/K43))</f>
        <v/>
      </c>
      <c r="P43" s="7" t="str">
        <f aca="false">IF(B43="","",IF(M43&lt;=設定!$C$6,IF(O43&gt;=設定!$C$7,"I(コア)","II(回転)"),IF(O43&gt;=設定!$C$7,"III(厳選)","IV(見送り)")))</f>
        <v/>
      </c>
      <c r="Q43" s="22" t="str">
        <f aca="false">IF(B43="","",IF(I43="在庫中",IF($C$6=0,"",L43/$C$6),""))</f>
        <v/>
      </c>
      <c r="R43" s="24"/>
    </row>
    <row r="44" customFormat="false" ht="15" hidden="false" customHeight="false" outlineLevel="0" collapsed="false">
      <c r="A44" s="16" t="str">
        <f aca="false">IF(B44="","",ROW()-10)</f>
        <v/>
      </c>
      <c r="B44" s="24"/>
      <c r="C44" s="18"/>
      <c r="D44" s="24"/>
      <c r="E44" s="24"/>
      <c r="F44" s="24"/>
      <c r="G44" s="24"/>
      <c r="H44" s="24"/>
      <c r="I44" s="18"/>
      <c r="J44" s="29"/>
      <c r="K44" s="19"/>
      <c r="L44" s="19"/>
      <c r="M44" s="20"/>
      <c r="N44" s="21" t="str">
        <f aca="false">IF(B44="","",L44-K44)</f>
        <v/>
      </c>
      <c r="O44" s="22" t="str">
        <f aca="false">IF(B44="","",IF(K44=0,"",N44/K44))</f>
        <v/>
      </c>
      <c r="P44" s="7" t="str">
        <f aca="false">IF(B44="","",IF(M44&lt;=設定!$C$6,IF(O44&gt;=設定!$C$7,"I(コア)","II(回転)"),IF(O44&gt;=設定!$C$7,"III(厳選)","IV(見送り)")))</f>
        <v/>
      </c>
      <c r="Q44" s="22" t="str">
        <f aca="false">IF(B44="","",IF(I44="在庫中",IF($C$6=0,"",L44/$C$6),""))</f>
        <v/>
      </c>
      <c r="R44" s="24"/>
    </row>
    <row r="45" customFormat="false" ht="15" hidden="false" customHeight="false" outlineLevel="0" collapsed="false">
      <c r="A45" s="16" t="str">
        <f aca="false">IF(B45="","",ROW()-10)</f>
        <v/>
      </c>
      <c r="B45" s="24"/>
      <c r="C45" s="18"/>
      <c r="D45" s="24"/>
      <c r="E45" s="24"/>
      <c r="F45" s="24"/>
      <c r="G45" s="24"/>
      <c r="H45" s="24"/>
      <c r="I45" s="18"/>
      <c r="J45" s="29"/>
      <c r="K45" s="19"/>
      <c r="L45" s="19"/>
      <c r="M45" s="20"/>
      <c r="N45" s="21" t="str">
        <f aca="false">IF(B45="","",L45-K45)</f>
        <v/>
      </c>
      <c r="O45" s="22" t="str">
        <f aca="false">IF(B45="","",IF(K45=0,"",N45/K45))</f>
        <v/>
      </c>
      <c r="P45" s="7" t="str">
        <f aca="false">IF(B45="","",IF(M45&lt;=設定!$C$6,IF(O45&gt;=設定!$C$7,"I(コア)","II(回転)"),IF(O45&gt;=設定!$C$7,"III(厳選)","IV(見送り)")))</f>
        <v/>
      </c>
      <c r="Q45" s="22" t="str">
        <f aca="false">IF(B45="","",IF(I45="在庫中",IF($C$6=0,"",L45/$C$6),""))</f>
        <v/>
      </c>
      <c r="R45" s="24"/>
    </row>
    <row r="46" customFormat="false" ht="15" hidden="false" customHeight="false" outlineLevel="0" collapsed="false">
      <c r="A46" s="16" t="str">
        <f aca="false">IF(B46="","",ROW()-10)</f>
        <v/>
      </c>
      <c r="B46" s="24"/>
      <c r="C46" s="18"/>
      <c r="D46" s="24"/>
      <c r="E46" s="24"/>
      <c r="F46" s="24"/>
      <c r="G46" s="24"/>
      <c r="H46" s="24"/>
      <c r="I46" s="18"/>
      <c r="J46" s="29"/>
      <c r="K46" s="19"/>
      <c r="L46" s="19"/>
      <c r="M46" s="20"/>
      <c r="N46" s="21" t="str">
        <f aca="false">IF(B46="","",L46-K46)</f>
        <v/>
      </c>
      <c r="O46" s="22" t="str">
        <f aca="false">IF(B46="","",IF(K46=0,"",N46/K46))</f>
        <v/>
      </c>
      <c r="P46" s="7" t="str">
        <f aca="false">IF(B46="","",IF(M46&lt;=設定!$C$6,IF(O46&gt;=設定!$C$7,"I(コア)","II(回転)"),IF(O46&gt;=設定!$C$7,"III(厳選)","IV(見送り)")))</f>
        <v/>
      </c>
      <c r="Q46" s="22" t="str">
        <f aca="false">IF(B46="","",IF(I46="在庫中",IF($C$6=0,"",L46/$C$6),""))</f>
        <v/>
      </c>
      <c r="R46" s="24"/>
    </row>
    <row r="47" customFormat="false" ht="15" hidden="false" customHeight="false" outlineLevel="0" collapsed="false">
      <c r="A47" s="16" t="str">
        <f aca="false">IF(B47="","",ROW()-10)</f>
        <v/>
      </c>
      <c r="B47" s="24"/>
      <c r="C47" s="18"/>
      <c r="D47" s="24"/>
      <c r="E47" s="24"/>
      <c r="F47" s="24"/>
      <c r="G47" s="24"/>
      <c r="H47" s="24"/>
      <c r="I47" s="18"/>
      <c r="J47" s="29"/>
      <c r="K47" s="19"/>
      <c r="L47" s="19"/>
      <c r="M47" s="20"/>
      <c r="N47" s="21" t="str">
        <f aca="false">IF(B47="","",L47-K47)</f>
        <v/>
      </c>
      <c r="O47" s="22" t="str">
        <f aca="false">IF(B47="","",IF(K47=0,"",N47/K47))</f>
        <v/>
      </c>
      <c r="P47" s="7" t="str">
        <f aca="false">IF(B47="","",IF(M47&lt;=設定!$C$6,IF(O47&gt;=設定!$C$7,"I(コア)","II(回転)"),IF(O47&gt;=設定!$C$7,"III(厳選)","IV(見送り)")))</f>
        <v/>
      </c>
      <c r="Q47" s="22" t="str">
        <f aca="false">IF(B47="","",IF(I47="在庫中",IF($C$6=0,"",L47/$C$6),""))</f>
        <v/>
      </c>
      <c r="R47" s="24"/>
    </row>
    <row r="48" customFormat="false" ht="15" hidden="false" customHeight="false" outlineLevel="0" collapsed="false">
      <c r="A48" s="16" t="str">
        <f aca="false">IF(B48="","",ROW()-10)</f>
        <v/>
      </c>
      <c r="B48" s="24"/>
      <c r="C48" s="18"/>
      <c r="D48" s="24"/>
      <c r="E48" s="24"/>
      <c r="F48" s="24"/>
      <c r="G48" s="24"/>
      <c r="H48" s="24"/>
      <c r="I48" s="18"/>
      <c r="J48" s="29"/>
      <c r="K48" s="19"/>
      <c r="L48" s="19"/>
      <c r="M48" s="20"/>
      <c r="N48" s="21" t="str">
        <f aca="false">IF(B48="","",L48-K48)</f>
        <v/>
      </c>
      <c r="O48" s="22" t="str">
        <f aca="false">IF(B48="","",IF(K48=0,"",N48/K48))</f>
        <v/>
      </c>
      <c r="P48" s="7" t="str">
        <f aca="false">IF(B48="","",IF(M48&lt;=設定!$C$6,IF(O48&gt;=設定!$C$7,"I(コア)","II(回転)"),IF(O48&gt;=設定!$C$7,"III(厳選)","IV(見送り)")))</f>
        <v/>
      </c>
      <c r="Q48" s="22" t="str">
        <f aca="false">IF(B48="","",IF(I48="在庫中",IF($C$6=0,"",L48/$C$6),""))</f>
        <v/>
      </c>
      <c r="R48" s="24"/>
    </row>
    <row r="49" customFormat="false" ht="15" hidden="false" customHeight="false" outlineLevel="0" collapsed="false">
      <c r="A49" s="16" t="str">
        <f aca="false">IF(B49="","",ROW()-10)</f>
        <v/>
      </c>
      <c r="B49" s="24"/>
      <c r="C49" s="18"/>
      <c r="D49" s="24"/>
      <c r="E49" s="24"/>
      <c r="F49" s="24"/>
      <c r="G49" s="24"/>
      <c r="H49" s="24"/>
      <c r="I49" s="18"/>
      <c r="J49" s="29"/>
      <c r="K49" s="19"/>
      <c r="L49" s="19"/>
      <c r="M49" s="20"/>
      <c r="N49" s="21" t="str">
        <f aca="false">IF(B49="","",L49-K49)</f>
        <v/>
      </c>
      <c r="O49" s="22" t="str">
        <f aca="false">IF(B49="","",IF(K49=0,"",N49/K49))</f>
        <v/>
      </c>
      <c r="P49" s="7" t="str">
        <f aca="false">IF(B49="","",IF(M49&lt;=設定!$C$6,IF(O49&gt;=設定!$C$7,"I(コア)","II(回転)"),IF(O49&gt;=設定!$C$7,"III(厳選)","IV(見送り)")))</f>
        <v/>
      </c>
      <c r="Q49" s="22" t="str">
        <f aca="false">IF(B49="","",IF(I49="在庫中",IF($C$6=0,"",L49/$C$6),""))</f>
        <v/>
      </c>
      <c r="R49" s="24"/>
    </row>
    <row r="50" customFormat="false" ht="15" hidden="false" customHeight="false" outlineLevel="0" collapsed="false">
      <c r="A50" s="16" t="str">
        <f aca="false">IF(B50="","",ROW()-10)</f>
        <v/>
      </c>
      <c r="B50" s="24"/>
      <c r="C50" s="18"/>
      <c r="D50" s="24"/>
      <c r="E50" s="24"/>
      <c r="F50" s="24"/>
      <c r="G50" s="24"/>
      <c r="H50" s="24"/>
      <c r="I50" s="18"/>
      <c r="J50" s="29"/>
      <c r="K50" s="19"/>
      <c r="L50" s="19"/>
      <c r="M50" s="20"/>
      <c r="N50" s="21" t="str">
        <f aca="false">IF(B50="","",L50-K50)</f>
        <v/>
      </c>
      <c r="O50" s="22" t="str">
        <f aca="false">IF(B50="","",IF(K50=0,"",N50/K50))</f>
        <v/>
      </c>
      <c r="P50" s="7" t="str">
        <f aca="false">IF(B50="","",IF(M50&lt;=設定!$C$6,IF(O50&gt;=設定!$C$7,"I(コア)","II(回転)"),IF(O50&gt;=設定!$C$7,"III(厳選)","IV(見送り)")))</f>
        <v/>
      </c>
      <c r="Q50" s="22" t="str">
        <f aca="false">IF(B50="","",IF(I50="在庫中",IF($C$6=0,"",L50/$C$6),""))</f>
        <v/>
      </c>
      <c r="R50" s="24"/>
    </row>
    <row r="51" customFormat="false" ht="15" hidden="false" customHeight="false" outlineLevel="0" collapsed="false">
      <c r="A51" s="16" t="str">
        <f aca="false">IF(B51="","",ROW()-10)</f>
        <v/>
      </c>
      <c r="B51" s="24"/>
      <c r="C51" s="18"/>
      <c r="D51" s="24"/>
      <c r="E51" s="24"/>
      <c r="F51" s="24"/>
      <c r="G51" s="24"/>
      <c r="H51" s="24"/>
      <c r="I51" s="18"/>
      <c r="J51" s="29"/>
      <c r="K51" s="19"/>
      <c r="L51" s="19"/>
      <c r="M51" s="20"/>
      <c r="N51" s="21" t="str">
        <f aca="false">IF(B51="","",L51-K51)</f>
        <v/>
      </c>
      <c r="O51" s="22" t="str">
        <f aca="false">IF(B51="","",IF(K51=0,"",N51/K51))</f>
        <v/>
      </c>
      <c r="P51" s="7" t="str">
        <f aca="false">IF(B51="","",IF(M51&lt;=設定!$C$6,IF(O51&gt;=設定!$C$7,"I(コア)","II(回転)"),IF(O51&gt;=設定!$C$7,"III(厳選)","IV(見送り)")))</f>
        <v/>
      </c>
      <c r="Q51" s="22" t="str">
        <f aca="false">IF(B51="","",IF(I51="在庫中",IF($C$6=0,"",L51/$C$6),""))</f>
        <v/>
      </c>
      <c r="R51" s="24"/>
    </row>
    <row r="52" customFormat="false" ht="15" hidden="false" customHeight="false" outlineLevel="0" collapsed="false">
      <c r="A52" s="16" t="str">
        <f aca="false">IF(B52="","",ROW()-10)</f>
        <v/>
      </c>
      <c r="B52" s="24"/>
      <c r="C52" s="18"/>
      <c r="D52" s="24"/>
      <c r="E52" s="24"/>
      <c r="F52" s="24"/>
      <c r="G52" s="24"/>
      <c r="H52" s="24"/>
      <c r="I52" s="18"/>
      <c r="J52" s="29"/>
      <c r="K52" s="19"/>
      <c r="L52" s="19"/>
      <c r="M52" s="20"/>
      <c r="N52" s="21" t="str">
        <f aca="false">IF(B52="","",L52-K52)</f>
        <v/>
      </c>
      <c r="O52" s="22" t="str">
        <f aca="false">IF(B52="","",IF(K52=0,"",N52/K52))</f>
        <v/>
      </c>
      <c r="P52" s="7" t="str">
        <f aca="false">IF(B52="","",IF(M52&lt;=設定!$C$6,IF(O52&gt;=設定!$C$7,"I(コア)","II(回転)"),IF(O52&gt;=設定!$C$7,"III(厳選)","IV(見送り)")))</f>
        <v/>
      </c>
      <c r="Q52" s="22" t="str">
        <f aca="false">IF(B52="","",IF(I52="在庫中",IF($C$6=0,"",L52/$C$6),""))</f>
        <v/>
      </c>
      <c r="R52" s="24"/>
    </row>
    <row r="53" customFormat="false" ht="15" hidden="false" customHeight="false" outlineLevel="0" collapsed="false">
      <c r="A53" s="16" t="str">
        <f aca="false">IF(B53="","",ROW()-10)</f>
        <v/>
      </c>
      <c r="B53" s="24"/>
      <c r="C53" s="18"/>
      <c r="D53" s="24"/>
      <c r="E53" s="24"/>
      <c r="F53" s="24"/>
      <c r="G53" s="24"/>
      <c r="H53" s="24"/>
      <c r="I53" s="18"/>
      <c r="J53" s="29"/>
      <c r="K53" s="19"/>
      <c r="L53" s="19"/>
      <c r="M53" s="20"/>
      <c r="N53" s="21" t="str">
        <f aca="false">IF(B53="","",L53-K53)</f>
        <v/>
      </c>
      <c r="O53" s="22" t="str">
        <f aca="false">IF(B53="","",IF(K53=0,"",N53/K53))</f>
        <v/>
      </c>
      <c r="P53" s="7" t="str">
        <f aca="false">IF(B53="","",IF(M53&lt;=設定!$C$6,IF(O53&gt;=設定!$C$7,"I(コア)","II(回転)"),IF(O53&gt;=設定!$C$7,"III(厳選)","IV(見送り)")))</f>
        <v/>
      </c>
      <c r="Q53" s="22" t="str">
        <f aca="false">IF(B53="","",IF(I53="在庫中",IF($C$6=0,"",L53/$C$6),""))</f>
        <v/>
      </c>
      <c r="R53" s="24"/>
    </row>
    <row r="54" customFormat="false" ht="15" hidden="false" customHeight="false" outlineLevel="0" collapsed="false">
      <c r="A54" s="16" t="str">
        <f aca="false">IF(B54="","",ROW()-10)</f>
        <v/>
      </c>
      <c r="B54" s="24"/>
      <c r="C54" s="18"/>
      <c r="D54" s="24"/>
      <c r="E54" s="24"/>
      <c r="F54" s="24"/>
      <c r="G54" s="24"/>
      <c r="H54" s="24"/>
      <c r="I54" s="18"/>
      <c r="J54" s="29"/>
      <c r="K54" s="19"/>
      <c r="L54" s="19"/>
      <c r="M54" s="20"/>
      <c r="N54" s="21" t="str">
        <f aca="false">IF(B54="","",L54-K54)</f>
        <v/>
      </c>
      <c r="O54" s="22" t="str">
        <f aca="false">IF(B54="","",IF(K54=0,"",N54/K54))</f>
        <v/>
      </c>
      <c r="P54" s="7" t="str">
        <f aca="false">IF(B54="","",IF(M54&lt;=設定!$C$6,IF(O54&gt;=設定!$C$7,"I(コア)","II(回転)"),IF(O54&gt;=設定!$C$7,"III(厳選)","IV(見送り)")))</f>
        <v/>
      </c>
      <c r="Q54" s="22" t="str">
        <f aca="false">IF(B54="","",IF(I54="在庫中",IF($C$6=0,"",L54/$C$6),""))</f>
        <v/>
      </c>
      <c r="R54" s="24"/>
    </row>
    <row r="55" customFormat="false" ht="15" hidden="false" customHeight="false" outlineLevel="0" collapsed="false">
      <c r="A55" s="16" t="str">
        <f aca="false">IF(B55="","",ROW()-10)</f>
        <v/>
      </c>
      <c r="B55" s="24"/>
      <c r="C55" s="18"/>
      <c r="D55" s="24"/>
      <c r="E55" s="24"/>
      <c r="F55" s="24"/>
      <c r="G55" s="24"/>
      <c r="H55" s="24"/>
      <c r="I55" s="18"/>
      <c r="J55" s="29"/>
      <c r="K55" s="19"/>
      <c r="L55" s="19"/>
      <c r="M55" s="20"/>
      <c r="N55" s="21" t="str">
        <f aca="false">IF(B55="","",L55-K55)</f>
        <v/>
      </c>
      <c r="O55" s="22" t="str">
        <f aca="false">IF(B55="","",IF(K55=0,"",N55/K55))</f>
        <v/>
      </c>
      <c r="P55" s="7" t="str">
        <f aca="false">IF(B55="","",IF(M55&lt;=設定!$C$6,IF(O55&gt;=設定!$C$7,"I(コア)","II(回転)"),IF(O55&gt;=設定!$C$7,"III(厳選)","IV(見送り)")))</f>
        <v/>
      </c>
      <c r="Q55" s="22" t="str">
        <f aca="false">IF(B55="","",IF(I55="在庫中",IF($C$6=0,"",L55/$C$6),""))</f>
        <v/>
      </c>
      <c r="R55" s="24"/>
    </row>
    <row r="56" customFormat="false" ht="15" hidden="false" customHeight="false" outlineLevel="0" collapsed="false">
      <c r="A56" s="16" t="str">
        <f aca="false">IF(B56="","",ROW()-10)</f>
        <v/>
      </c>
      <c r="B56" s="24"/>
      <c r="C56" s="18"/>
      <c r="D56" s="24"/>
      <c r="E56" s="24"/>
      <c r="F56" s="24"/>
      <c r="G56" s="24"/>
      <c r="H56" s="24"/>
      <c r="I56" s="18"/>
      <c r="J56" s="29"/>
      <c r="K56" s="19"/>
      <c r="L56" s="19"/>
      <c r="M56" s="20"/>
      <c r="N56" s="21" t="str">
        <f aca="false">IF(B56="","",L56-K56)</f>
        <v/>
      </c>
      <c r="O56" s="22" t="str">
        <f aca="false">IF(B56="","",IF(K56=0,"",N56/K56))</f>
        <v/>
      </c>
      <c r="P56" s="7" t="str">
        <f aca="false">IF(B56="","",IF(M56&lt;=設定!$C$6,IF(O56&gt;=設定!$C$7,"I(コア)","II(回転)"),IF(O56&gt;=設定!$C$7,"III(厳選)","IV(見送り)")))</f>
        <v/>
      </c>
      <c r="Q56" s="22" t="str">
        <f aca="false">IF(B56="","",IF(I56="在庫中",IF($C$6=0,"",L56/$C$6),""))</f>
        <v/>
      </c>
      <c r="R56" s="24"/>
    </row>
    <row r="57" customFormat="false" ht="15" hidden="false" customHeight="false" outlineLevel="0" collapsed="false">
      <c r="A57" s="16" t="str">
        <f aca="false">IF(B57="","",ROW()-10)</f>
        <v/>
      </c>
      <c r="B57" s="24"/>
      <c r="C57" s="18"/>
      <c r="D57" s="24"/>
      <c r="E57" s="24"/>
      <c r="F57" s="24"/>
      <c r="G57" s="24"/>
      <c r="H57" s="24"/>
      <c r="I57" s="18"/>
      <c r="J57" s="29"/>
      <c r="K57" s="19"/>
      <c r="L57" s="19"/>
      <c r="M57" s="20"/>
      <c r="N57" s="21" t="str">
        <f aca="false">IF(B57="","",L57-K57)</f>
        <v/>
      </c>
      <c r="O57" s="22" t="str">
        <f aca="false">IF(B57="","",IF(K57=0,"",N57/K57))</f>
        <v/>
      </c>
      <c r="P57" s="7" t="str">
        <f aca="false">IF(B57="","",IF(M57&lt;=設定!$C$6,IF(O57&gt;=設定!$C$7,"I(コア)","II(回転)"),IF(O57&gt;=設定!$C$7,"III(厳選)","IV(見送り)")))</f>
        <v/>
      </c>
      <c r="Q57" s="22" t="str">
        <f aca="false">IF(B57="","",IF(I57="在庫中",IF($C$6=0,"",L57/$C$6),""))</f>
        <v/>
      </c>
      <c r="R57" s="24"/>
    </row>
    <row r="58" customFormat="false" ht="15" hidden="false" customHeight="false" outlineLevel="0" collapsed="false">
      <c r="A58" s="16" t="str">
        <f aca="false">IF(B58="","",ROW()-10)</f>
        <v/>
      </c>
      <c r="B58" s="24"/>
      <c r="C58" s="18"/>
      <c r="D58" s="24"/>
      <c r="E58" s="24"/>
      <c r="F58" s="24"/>
      <c r="G58" s="24"/>
      <c r="H58" s="24"/>
      <c r="I58" s="18"/>
      <c r="J58" s="29"/>
      <c r="K58" s="19"/>
      <c r="L58" s="19"/>
      <c r="M58" s="20"/>
      <c r="N58" s="21" t="str">
        <f aca="false">IF(B58="","",L58-K58)</f>
        <v/>
      </c>
      <c r="O58" s="22" t="str">
        <f aca="false">IF(B58="","",IF(K58=0,"",N58/K58))</f>
        <v/>
      </c>
      <c r="P58" s="7" t="str">
        <f aca="false">IF(B58="","",IF(M58&lt;=設定!$C$6,IF(O58&gt;=設定!$C$7,"I(コア)","II(回転)"),IF(O58&gt;=設定!$C$7,"III(厳選)","IV(見送り)")))</f>
        <v/>
      </c>
      <c r="Q58" s="22" t="str">
        <f aca="false">IF(B58="","",IF(I58="在庫中",IF($C$6=0,"",L58/$C$6),""))</f>
        <v/>
      </c>
      <c r="R58" s="24"/>
    </row>
    <row r="59" customFormat="false" ht="15" hidden="false" customHeight="false" outlineLevel="0" collapsed="false">
      <c r="A59" s="16" t="str">
        <f aca="false">IF(B59="","",ROW()-10)</f>
        <v/>
      </c>
      <c r="B59" s="24"/>
      <c r="C59" s="18"/>
      <c r="D59" s="24"/>
      <c r="E59" s="24"/>
      <c r="F59" s="24"/>
      <c r="G59" s="24"/>
      <c r="H59" s="24"/>
      <c r="I59" s="18"/>
      <c r="J59" s="29"/>
      <c r="K59" s="19"/>
      <c r="L59" s="19"/>
      <c r="M59" s="20"/>
      <c r="N59" s="21" t="str">
        <f aca="false">IF(B59="","",L59-K59)</f>
        <v/>
      </c>
      <c r="O59" s="22" t="str">
        <f aca="false">IF(B59="","",IF(K59=0,"",N59/K59))</f>
        <v/>
      </c>
      <c r="P59" s="7" t="str">
        <f aca="false">IF(B59="","",IF(M59&lt;=設定!$C$6,IF(O59&gt;=設定!$C$7,"I(コア)","II(回転)"),IF(O59&gt;=設定!$C$7,"III(厳選)","IV(見送り)")))</f>
        <v/>
      </c>
      <c r="Q59" s="22" t="str">
        <f aca="false">IF(B59="","",IF(I59="在庫中",IF($C$6=0,"",L59/$C$6),""))</f>
        <v/>
      </c>
      <c r="R59" s="24"/>
    </row>
    <row r="60" customFormat="false" ht="15" hidden="false" customHeight="false" outlineLevel="0" collapsed="false">
      <c r="A60" s="16" t="str">
        <f aca="false">IF(B60="","",ROW()-10)</f>
        <v/>
      </c>
      <c r="B60" s="24"/>
      <c r="C60" s="18"/>
      <c r="D60" s="24"/>
      <c r="E60" s="24"/>
      <c r="F60" s="24"/>
      <c r="G60" s="24"/>
      <c r="H60" s="24"/>
      <c r="I60" s="18"/>
      <c r="J60" s="29"/>
      <c r="K60" s="19"/>
      <c r="L60" s="19"/>
      <c r="M60" s="20"/>
      <c r="N60" s="21" t="str">
        <f aca="false">IF(B60="","",L60-K60)</f>
        <v/>
      </c>
      <c r="O60" s="22" t="str">
        <f aca="false">IF(B60="","",IF(K60=0,"",N60/K60))</f>
        <v/>
      </c>
      <c r="P60" s="7" t="str">
        <f aca="false">IF(B60="","",IF(M60&lt;=設定!$C$6,IF(O60&gt;=設定!$C$7,"I(コア)","II(回転)"),IF(O60&gt;=設定!$C$7,"III(厳選)","IV(見送り)")))</f>
        <v/>
      </c>
      <c r="Q60" s="22" t="str">
        <f aca="false">IF(B60="","",IF(I60="在庫中",IF($C$6=0,"",L60/$C$6),""))</f>
        <v/>
      </c>
      <c r="R60" s="24"/>
    </row>
    <row r="61" customFormat="false" ht="15" hidden="false" customHeight="false" outlineLevel="0" collapsed="false">
      <c r="A61" s="16" t="str">
        <f aca="false">IF(B61="","",ROW()-10)</f>
        <v/>
      </c>
      <c r="B61" s="24"/>
      <c r="C61" s="18"/>
      <c r="D61" s="24"/>
      <c r="E61" s="24"/>
      <c r="F61" s="24"/>
      <c r="G61" s="24"/>
      <c r="H61" s="24"/>
      <c r="I61" s="18"/>
      <c r="J61" s="29"/>
      <c r="K61" s="19"/>
      <c r="L61" s="19"/>
      <c r="M61" s="20"/>
      <c r="N61" s="21" t="str">
        <f aca="false">IF(B61="","",L61-K61)</f>
        <v/>
      </c>
      <c r="O61" s="22" t="str">
        <f aca="false">IF(B61="","",IF(K61=0,"",N61/K61))</f>
        <v/>
      </c>
      <c r="P61" s="7" t="str">
        <f aca="false">IF(B61="","",IF(M61&lt;=設定!$C$6,IF(O61&gt;=設定!$C$7,"I(コア)","II(回転)"),IF(O61&gt;=設定!$C$7,"III(厳選)","IV(見送り)")))</f>
        <v/>
      </c>
      <c r="Q61" s="22" t="str">
        <f aca="false">IF(B61="","",IF(I61="在庫中",IF($C$6=0,"",L61/$C$6),""))</f>
        <v/>
      </c>
      <c r="R61" s="24"/>
    </row>
    <row r="62" customFormat="false" ht="15" hidden="false" customHeight="false" outlineLevel="0" collapsed="false">
      <c r="A62" s="16" t="str">
        <f aca="false">IF(B62="","",ROW()-10)</f>
        <v/>
      </c>
      <c r="B62" s="24"/>
      <c r="C62" s="18"/>
      <c r="D62" s="24"/>
      <c r="E62" s="24"/>
      <c r="F62" s="24"/>
      <c r="G62" s="24"/>
      <c r="H62" s="24"/>
      <c r="I62" s="18"/>
      <c r="J62" s="29"/>
      <c r="K62" s="19"/>
      <c r="L62" s="19"/>
      <c r="M62" s="20"/>
      <c r="N62" s="21" t="str">
        <f aca="false">IF(B62="","",L62-K62)</f>
        <v/>
      </c>
      <c r="O62" s="22" t="str">
        <f aca="false">IF(B62="","",IF(K62=0,"",N62/K62))</f>
        <v/>
      </c>
      <c r="P62" s="7" t="str">
        <f aca="false">IF(B62="","",IF(M62&lt;=設定!$C$6,IF(O62&gt;=設定!$C$7,"I(コア)","II(回転)"),IF(O62&gt;=設定!$C$7,"III(厳選)","IV(見送り)")))</f>
        <v/>
      </c>
      <c r="Q62" s="22" t="str">
        <f aca="false">IF(B62="","",IF(I62="在庫中",IF($C$6=0,"",L62/$C$6),""))</f>
        <v/>
      </c>
      <c r="R62" s="24"/>
    </row>
    <row r="63" customFormat="false" ht="15" hidden="false" customHeight="false" outlineLevel="0" collapsed="false">
      <c r="A63" s="16" t="str">
        <f aca="false">IF(B63="","",ROW()-10)</f>
        <v/>
      </c>
      <c r="B63" s="24"/>
      <c r="C63" s="18"/>
      <c r="D63" s="24"/>
      <c r="E63" s="24"/>
      <c r="F63" s="24"/>
      <c r="G63" s="24"/>
      <c r="H63" s="24"/>
      <c r="I63" s="18"/>
      <c r="J63" s="29"/>
      <c r="K63" s="19"/>
      <c r="L63" s="19"/>
      <c r="M63" s="20"/>
      <c r="N63" s="21" t="str">
        <f aca="false">IF(B63="","",L63-K63)</f>
        <v/>
      </c>
      <c r="O63" s="22" t="str">
        <f aca="false">IF(B63="","",IF(K63=0,"",N63/K63))</f>
        <v/>
      </c>
      <c r="P63" s="7" t="str">
        <f aca="false">IF(B63="","",IF(M63&lt;=設定!$C$6,IF(O63&gt;=設定!$C$7,"I(コア)","II(回転)"),IF(O63&gt;=設定!$C$7,"III(厳選)","IV(見送り)")))</f>
        <v/>
      </c>
      <c r="Q63" s="22" t="str">
        <f aca="false">IF(B63="","",IF(I63="在庫中",IF($C$6=0,"",L63/$C$6),""))</f>
        <v/>
      </c>
      <c r="R63" s="24"/>
    </row>
    <row r="64" customFormat="false" ht="15" hidden="false" customHeight="false" outlineLevel="0" collapsed="false">
      <c r="A64" s="16" t="str">
        <f aca="false">IF(B64="","",ROW()-10)</f>
        <v/>
      </c>
      <c r="B64" s="24"/>
      <c r="C64" s="18"/>
      <c r="D64" s="24"/>
      <c r="E64" s="24"/>
      <c r="F64" s="24"/>
      <c r="G64" s="24"/>
      <c r="H64" s="24"/>
      <c r="I64" s="18"/>
      <c r="J64" s="29"/>
      <c r="K64" s="19"/>
      <c r="L64" s="19"/>
      <c r="M64" s="20"/>
      <c r="N64" s="21" t="str">
        <f aca="false">IF(B64="","",L64-K64)</f>
        <v/>
      </c>
      <c r="O64" s="22" t="str">
        <f aca="false">IF(B64="","",IF(K64=0,"",N64/K64))</f>
        <v/>
      </c>
      <c r="P64" s="7" t="str">
        <f aca="false">IF(B64="","",IF(M64&lt;=設定!$C$6,IF(O64&gt;=設定!$C$7,"I(コア)","II(回転)"),IF(O64&gt;=設定!$C$7,"III(厳選)","IV(見送り)")))</f>
        <v/>
      </c>
      <c r="Q64" s="22" t="str">
        <f aca="false">IF(B64="","",IF(I64="在庫中",IF($C$6=0,"",L64/$C$6),""))</f>
        <v/>
      </c>
      <c r="R64" s="24"/>
    </row>
    <row r="65" customFormat="false" ht="15" hidden="false" customHeight="false" outlineLevel="0" collapsed="false">
      <c r="A65" s="16" t="str">
        <f aca="false">IF(B65="","",ROW()-10)</f>
        <v/>
      </c>
      <c r="B65" s="24"/>
      <c r="C65" s="18"/>
      <c r="D65" s="24"/>
      <c r="E65" s="24"/>
      <c r="F65" s="24"/>
      <c r="G65" s="24"/>
      <c r="H65" s="24"/>
      <c r="I65" s="18"/>
      <c r="J65" s="29"/>
      <c r="K65" s="19"/>
      <c r="L65" s="19"/>
      <c r="M65" s="20"/>
      <c r="N65" s="21" t="str">
        <f aca="false">IF(B65="","",L65-K65)</f>
        <v/>
      </c>
      <c r="O65" s="22" t="str">
        <f aca="false">IF(B65="","",IF(K65=0,"",N65/K65))</f>
        <v/>
      </c>
      <c r="P65" s="7" t="str">
        <f aca="false">IF(B65="","",IF(M65&lt;=設定!$C$6,IF(O65&gt;=設定!$C$7,"I(コア)","II(回転)"),IF(O65&gt;=設定!$C$7,"III(厳選)","IV(見送り)")))</f>
        <v/>
      </c>
      <c r="Q65" s="22" t="str">
        <f aca="false">IF(B65="","",IF(I65="在庫中",IF($C$6=0,"",L65/$C$6),""))</f>
        <v/>
      </c>
      <c r="R65" s="24"/>
    </row>
    <row r="66" customFormat="false" ht="15" hidden="false" customHeight="false" outlineLevel="0" collapsed="false">
      <c r="A66" s="16" t="str">
        <f aca="false">IF(B66="","",ROW()-10)</f>
        <v/>
      </c>
      <c r="B66" s="24"/>
      <c r="C66" s="18"/>
      <c r="D66" s="24"/>
      <c r="E66" s="24"/>
      <c r="F66" s="24"/>
      <c r="G66" s="24"/>
      <c r="H66" s="24"/>
      <c r="I66" s="18"/>
      <c r="J66" s="29"/>
      <c r="K66" s="19"/>
      <c r="L66" s="19"/>
      <c r="M66" s="20"/>
      <c r="N66" s="21" t="str">
        <f aca="false">IF(B66="","",L66-K66)</f>
        <v/>
      </c>
      <c r="O66" s="22" t="str">
        <f aca="false">IF(B66="","",IF(K66=0,"",N66/K66))</f>
        <v/>
      </c>
      <c r="P66" s="7" t="str">
        <f aca="false">IF(B66="","",IF(M66&lt;=設定!$C$6,IF(O66&gt;=設定!$C$7,"I(コア)","II(回転)"),IF(O66&gt;=設定!$C$7,"III(厳選)","IV(見送り)")))</f>
        <v/>
      </c>
      <c r="Q66" s="22" t="str">
        <f aca="false">IF(B66="","",IF(I66="在庫中",IF($C$6=0,"",L66/$C$6),""))</f>
        <v/>
      </c>
      <c r="R66" s="24"/>
    </row>
    <row r="67" customFormat="false" ht="15" hidden="false" customHeight="false" outlineLevel="0" collapsed="false">
      <c r="A67" s="16" t="str">
        <f aca="false">IF(B67="","",ROW()-10)</f>
        <v/>
      </c>
      <c r="B67" s="24"/>
      <c r="C67" s="18"/>
      <c r="D67" s="24"/>
      <c r="E67" s="24"/>
      <c r="F67" s="24"/>
      <c r="G67" s="24"/>
      <c r="H67" s="24"/>
      <c r="I67" s="18"/>
      <c r="J67" s="29"/>
      <c r="K67" s="19"/>
      <c r="L67" s="19"/>
      <c r="M67" s="20"/>
      <c r="N67" s="21" t="str">
        <f aca="false">IF(B67="","",L67-K67)</f>
        <v/>
      </c>
      <c r="O67" s="22" t="str">
        <f aca="false">IF(B67="","",IF(K67=0,"",N67/K67))</f>
        <v/>
      </c>
      <c r="P67" s="7" t="str">
        <f aca="false">IF(B67="","",IF(M67&lt;=設定!$C$6,IF(O67&gt;=設定!$C$7,"I(コア)","II(回転)"),IF(O67&gt;=設定!$C$7,"III(厳選)","IV(見送り)")))</f>
        <v/>
      </c>
      <c r="Q67" s="22" t="str">
        <f aca="false">IF(B67="","",IF(I67="在庫中",IF($C$6=0,"",L67/$C$6),""))</f>
        <v/>
      </c>
      <c r="R67" s="24"/>
    </row>
    <row r="68" customFormat="false" ht="15" hidden="false" customHeight="false" outlineLevel="0" collapsed="false">
      <c r="A68" s="16" t="str">
        <f aca="false">IF(B68="","",ROW()-10)</f>
        <v/>
      </c>
      <c r="B68" s="24"/>
      <c r="C68" s="18"/>
      <c r="D68" s="24"/>
      <c r="E68" s="24"/>
      <c r="F68" s="24"/>
      <c r="G68" s="24"/>
      <c r="H68" s="24"/>
      <c r="I68" s="18"/>
      <c r="J68" s="29"/>
      <c r="K68" s="19"/>
      <c r="L68" s="19"/>
      <c r="M68" s="20"/>
      <c r="N68" s="21" t="str">
        <f aca="false">IF(B68="","",L68-K68)</f>
        <v/>
      </c>
      <c r="O68" s="22" t="str">
        <f aca="false">IF(B68="","",IF(K68=0,"",N68/K68))</f>
        <v/>
      </c>
      <c r="P68" s="7" t="str">
        <f aca="false">IF(B68="","",IF(M68&lt;=設定!$C$6,IF(O68&gt;=設定!$C$7,"I(コア)","II(回転)"),IF(O68&gt;=設定!$C$7,"III(厳選)","IV(見送り)")))</f>
        <v/>
      </c>
      <c r="Q68" s="22" t="str">
        <f aca="false">IF(B68="","",IF(I68="在庫中",IF($C$6=0,"",L68/$C$6),""))</f>
        <v/>
      </c>
      <c r="R68" s="24"/>
    </row>
    <row r="69" customFormat="false" ht="15" hidden="false" customHeight="false" outlineLevel="0" collapsed="false">
      <c r="A69" s="16" t="str">
        <f aca="false">IF(B69="","",ROW()-10)</f>
        <v/>
      </c>
      <c r="B69" s="24"/>
      <c r="C69" s="18"/>
      <c r="D69" s="24"/>
      <c r="E69" s="24"/>
      <c r="F69" s="24"/>
      <c r="G69" s="24"/>
      <c r="H69" s="24"/>
      <c r="I69" s="18"/>
      <c r="J69" s="29"/>
      <c r="K69" s="19"/>
      <c r="L69" s="19"/>
      <c r="M69" s="20"/>
      <c r="N69" s="21" t="str">
        <f aca="false">IF(B69="","",L69-K69)</f>
        <v/>
      </c>
      <c r="O69" s="22" t="str">
        <f aca="false">IF(B69="","",IF(K69=0,"",N69/K69))</f>
        <v/>
      </c>
      <c r="P69" s="7" t="str">
        <f aca="false">IF(B69="","",IF(M69&lt;=設定!$C$6,IF(O69&gt;=設定!$C$7,"I(コア)","II(回転)"),IF(O69&gt;=設定!$C$7,"III(厳選)","IV(見送り)")))</f>
        <v/>
      </c>
      <c r="Q69" s="22" t="str">
        <f aca="false">IF(B69="","",IF(I69="在庫中",IF($C$6=0,"",L69/$C$6),""))</f>
        <v/>
      </c>
      <c r="R69" s="24"/>
    </row>
    <row r="70" customFormat="false" ht="15" hidden="false" customHeight="false" outlineLevel="0" collapsed="false">
      <c r="A70" s="16" t="str">
        <f aca="false">IF(B70="","",ROW()-10)</f>
        <v/>
      </c>
      <c r="B70" s="24"/>
      <c r="C70" s="18"/>
      <c r="D70" s="24"/>
      <c r="E70" s="24"/>
      <c r="F70" s="24"/>
      <c r="G70" s="24"/>
      <c r="H70" s="24"/>
      <c r="I70" s="18"/>
      <c r="J70" s="29"/>
      <c r="K70" s="19"/>
      <c r="L70" s="19"/>
      <c r="M70" s="20"/>
      <c r="N70" s="21" t="str">
        <f aca="false">IF(B70="","",L70-K70)</f>
        <v/>
      </c>
      <c r="O70" s="22" t="str">
        <f aca="false">IF(B70="","",IF(K70=0,"",N70/K70))</f>
        <v/>
      </c>
      <c r="P70" s="7" t="str">
        <f aca="false">IF(B70="","",IF(M70&lt;=設定!$C$6,IF(O70&gt;=設定!$C$7,"I(コア)","II(回転)"),IF(O70&gt;=設定!$C$7,"III(厳選)","IV(見送り)")))</f>
        <v/>
      </c>
      <c r="Q70" s="22" t="str">
        <f aca="false">IF(B70="","",IF(I70="在庫中",IF($C$6=0,"",L70/$C$6),""))</f>
        <v/>
      </c>
      <c r="R70" s="24"/>
    </row>
    <row r="71" customFormat="false" ht="15" hidden="false" customHeight="false" outlineLevel="0" collapsed="false">
      <c r="A71" s="16" t="str">
        <f aca="false">IF(B71="","",ROW()-10)</f>
        <v/>
      </c>
      <c r="B71" s="24"/>
      <c r="C71" s="18"/>
      <c r="D71" s="24"/>
      <c r="E71" s="24"/>
      <c r="F71" s="24"/>
      <c r="G71" s="24"/>
      <c r="H71" s="24"/>
      <c r="I71" s="18"/>
      <c r="J71" s="29"/>
      <c r="K71" s="19"/>
      <c r="L71" s="19"/>
      <c r="M71" s="20"/>
      <c r="N71" s="21" t="str">
        <f aca="false">IF(B71="","",L71-K71)</f>
        <v/>
      </c>
      <c r="O71" s="22" t="str">
        <f aca="false">IF(B71="","",IF(K71=0,"",N71/K71))</f>
        <v/>
      </c>
      <c r="P71" s="7" t="str">
        <f aca="false">IF(B71="","",IF(M71&lt;=設定!$C$6,IF(O71&gt;=設定!$C$7,"I(コア)","II(回転)"),IF(O71&gt;=設定!$C$7,"III(厳選)","IV(見送り)")))</f>
        <v/>
      </c>
      <c r="Q71" s="22" t="str">
        <f aca="false">IF(B71="","",IF(I71="在庫中",IF($C$6=0,"",L71/$C$6),""))</f>
        <v/>
      </c>
      <c r="R71" s="24"/>
    </row>
    <row r="72" customFormat="false" ht="15" hidden="false" customHeight="false" outlineLevel="0" collapsed="false">
      <c r="A72" s="16" t="str">
        <f aca="false">IF(B72="","",ROW()-10)</f>
        <v/>
      </c>
      <c r="B72" s="24"/>
      <c r="C72" s="18"/>
      <c r="D72" s="24"/>
      <c r="E72" s="24"/>
      <c r="F72" s="24"/>
      <c r="G72" s="24"/>
      <c r="H72" s="24"/>
      <c r="I72" s="18"/>
      <c r="J72" s="29"/>
      <c r="K72" s="19"/>
      <c r="L72" s="19"/>
      <c r="M72" s="20"/>
      <c r="N72" s="21" t="str">
        <f aca="false">IF(B72="","",L72-K72)</f>
        <v/>
      </c>
      <c r="O72" s="22" t="str">
        <f aca="false">IF(B72="","",IF(K72=0,"",N72/K72))</f>
        <v/>
      </c>
      <c r="P72" s="7" t="str">
        <f aca="false">IF(B72="","",IF(M72&lt;=設定!$C$6,IF(O72&gt;=設定!$C$7,"I(コア)","II(回転)"),IF(O72&gt;=設定!$C$7,"III(厳選)","IV(見送り)")))</f>
        <v/>
      </c>
      <c r="Q72" s="22" t="str">
        <f aca="false">IF(B72="","",IF(I72="在庫中",IF($C$6=0,"",L72/$C$6),""))</f>
        <v/>
      </c>
      <c r="R72" s="24"/>
    </row>
    <row r="73" customFormat="false" ht="15" hidden="false" customHeight="false" outlineLevel="0" collapsed="false">
      <c r="A73" s="16" t="str">
        <f aca="false">IF(B73="","",ROW()-10)</f>
        <v/>
      </c>
      <c r="B73" s="24"/>
      <c r="C73" s="18"/>
      <c r="D73" s="24"/>
      <c r="E73" s="24"/>
      <c r="F73" s="24"/>
      <c r="G73" s="24"/>
      <c r="H73" s="24"/>
      <c r="I73" s="18"/>
      <c r="J73" s="29"/>
      <c r="K73" s="19"/>
      <c r="L73" s="19"/>
      <c r="M73" s="20"/>
      <c r="N73" s="21" t="str">
        <f aca="false">IF(B73="","",L73-K73)</f>
        <v/>
      </c>
      <c r="O73" s="22" t="str">
        <f aca="false">IF(B73="","",IF(K73=0,"",N73/K73))</f>
        <v/>
      </c>
      <c r="P73" s="7" t="str">
        <f aca="false">IF(B73="","",IF(M73&lt;=設定!$C$6,IF(O73&gt;=設定!$C$7,"I(コア)","II(回転)"),IF(O73&gt;=設定!$C$7,"III(厳選)","IV(見送り)")))</f>
        <v/>
      </c>
      <c r="Q73" s="22" t="str">
        <f aca="false">IF(B73="","",IF(I73="在庫中",IF($C$6=0,"",L73/$C$6),""))</f>
        <v/>
      </c>
      <c r="R73" s="24"/>
    </row>
    <row r="74" customFormat="false" ht="15" hidden="false" customHeight="false" outlineLevel="0" collapsed="false">
      <c r="A74" s="16" t="str">
        <f aca="false">IF(B74="","",ROW()-10)</f>
        <v/>
      </c>
      <c r="B74" s="24"/>
      <c r="C74" s="18"/>
      <c r="D74" s="24"/>
      <c r="E74" s="24"/>
      <c r="F74" s="24"/>
      <c r="G74" s="24"/>
      <c r="H74" s="24"/>
      <c r="I74" s="18"/>
      <c r="J74" s="29"/>
      <c r="K74" s="19"/>
      <c r="L74" s="19"/>
      <c r="M74" s="20"/>
      <c r="N74" s="21" t="str">
        <f aca="false">IF(B74="","",L74-K74)</f>
        <v/>
      </c>
      <c r="O74" s="22" t="str">
        <f aca="false">IF(B74="","",IF(K74=0,"",N74/K74))</f>
        <v/>
      </c>
      <c r="P74" s="7" t="str">
        <f aca="false">IF(B74="","",IF(M74&lt;=設定!$C$6,IF(O74&gt;=設定!$C$7,"I(コア)","II(回転)"),IF(O74&gt;=設定!$C$7,"III(厳選)","IV(見送り)")))</f>
        <v/>
      </c>
      <c r="Q74" s="22" t="str">
        <f aca="false">IF(B74="","",IF(I74="在庫中",IF($C$6=0,"",L74/$C$6),""))</f>
        <v/>
      </c>
      <c r="R74" s="24"/>
    </row>
    <row r="75" customFormat="false" ht="15" hidden="false" customHeight="false" outlineLevel="0" collapsed="false">
      <c r="A75" s="16" t="str">
        <f aca="false">IF(B75="","",ROW()-10)</f>
        <v/>
      </c>
      <c r="B75" s="24"/>
      <c r="C75" s="18"/>
      <c r="D75" s="24"/>
      <c r="E75" s="24"/>
      <c r="F75" s="24"/>
      <c r="G75" s="24"/>
      <c r="H75" s="24"/>
      <c r="I75" s="18"/>
      <c r="J75" s="29"/>
      <c r="K75" s="19"/>
      <c r="L75" s="19"/>
      <c r="M75" s="20"/>
      <c r="N75" s="21" t="str">
        <f aca="false">IF(B75="","",L75-K75)</f>
        <v/>
      </c>
      <c r="O75" s="22" t="str">
        <f aca="false">IF(B75="","",IF(K75=0,"",N75/K75))</f>
        <v/>
      </c>
      <c r="P75" s="7" t="str">
        <f aca="false">IF(B75="","",IF(M75&lt;=設定!$C$6,IF(O75&gt;=設定!$C$7,"I(コア)","II(回転)"),IF(O75&gt;=設定!$C$7,"III(厳選)","IV(見送り)")))</f>
        <v/>
      </c>
      <c r="Q75" s="22" t="str">
        <f aca="false">IF(B75="","",IF(I75="在庫中",IF($C$6=0,"",L75/$C$6),""))</f>
        <v/>
      </c>
      <c r="R75" s="24"/>
    </row>
    <row r="76" customFormat="false" ht="15" hidden="false" customHeight="false" outlineLevel="0" collapsed="false">
      <c r="A76" s="16" t="str">
        <f aca="false">IF(B76="","",ROW()-10)</f>
        <v/>
      </c>
      <c r="B76" s="24"/>
      <c r="C76" s="18"/>
      <c r="D76" s="24"/>
      <c r="E76" s="24"/>
      <c r="F76" s="24"/>
      <c r="G76" s="24"/>
      <c r="H76" s="24"/>
      <c r="I76" s="18"/>
      <c r="J76" s="29"/>
      <c r="K76" s="19"/>
      <c r="L76" s="19"/>
      <c r="M76" s="20"/>
      <c r="N76" s="21" t="str">
        <f aca="false">IF(B76="","",L76-K76)</f>
        <v/>
      </c>
      <c r="O76" s="22" t="str">
        <f aca="false">IF(B76="","",IF(K76=0,"",N76/K76))</f>
        <v/>
      </c>
      <c r="P76" s="7" t="str">
        <f aca="false">IF(B76="","",IF(M76&lt;=設定!$C$6,IF(O76&gt;=設定!$C$7,"I(コア)","II(回転)"),IF(O76&gt;=設定!$C$7,"III(厳選)","IV(見送り)")))</f>
        <v/>
      </c>
      <c r="Q76" s="22" t="str">
        <f aca="false">IF(B76="","",IF(I76="在庫中",IF($C$6=0,"",L76/$C$6),""))</f>
        <v/>
      </c>
      <c r="R76" s="24"/>
    </row>
    <row r="77" customFormat="false" ht="15" hidden="false" customHeight="false" outlineLevel="0" collapsed="false">
      <c r="A77" s="16" t="str">
        <f aca="false">IF(B77="","",ROW()-10)</f>
        <v/>
      </c>
      <c r="B77" s="24"/>
      <c r="C77" s="18"/>
      <c r="D77" s="24"/>
      <c r="E77" s="24"/>
      <c r="F77" s="24"/>
      <c r="G77" s="24"/>
      <c r="H77" s="24"/>
      <c r="I77" s="18"/>
      <c r="J77" s="29"/>
      <c r="K77" s="19"/>
      <c r="L77" s="19"/>
      <c r="M77" s="20"/>
      <c r="N77" s="21" t="str">
        <f aca="false">IF(B77="","",L77-K77)</f>
        <v/>
      </c>
      <c r="O77" s="22" t="str">
        <f aca="false">IF(B77="","",IF(K77=0,"",N77/K77))</f>
        <v/>
      </c>
      <c r="P77" s="7" t="str">
        <f aca="false">IF(B77="","",IF(M77&lt;=設定!$C$6,IF(O77&gt;=設定!$C$7,"I(コア)","II(回転)"),IF(O77&gt;=設定!$C$7,"III(厳選)","IV(見送り)")))</f>
        <v/>
      </c>
      <c r="Q77" s="22" t="str">
        <f aca="false">IF(B77="","",IF(I77="在庫中",IF($C$6=0,"",L77/$C$6),""))</f>
        <v/>
      </c>
      <c r="R77" s="24"/>
    </row>
    <row r="78" customFormat="false" ht="15" hidden="false" customHeight="false" outlineLevel="0" collapsed="false">
      <c r="A78" s="16" t="str">
        <f aca="false">IF(B78="","",ROW()-10)</f>
        <v/>
      </c>
      <c r="B78" s="24"/>
      <c r="C78" s="18"/>
      <c r="D78" s="24"/>
      <c r="E78" s="24"/>
      <c r="F78" s="24"/>
      <c r="G78" s="24"/>
      <c r="H78" s="24"/>
      <c r="I78" s="18"/>
      <c r="J78" s="29"/>
      <c r="K78" s="19"/>
      <c r="L78" s="19"/>
      <c r="M78" s="20"/>
      <c r="N78" s="21" t="str">
        <f aca="false">IF(B78="","",L78-K78)</f>
        <v/>
      </c>
      <c r="O78" s="22" t="str">
        <f aca="false">IF(B78="","",IF(K78=0,"",N78/K78))</f>
        <v/>
      </c>
      <c r="P78" s="7" t="str">
        <f aca="false">IF(B78="","",IF(M78&lt;=設定!$C$6,IF(O78&gt;=設定!$C$7,"I(コア)","II(回転)"),IF(O78&gt;=設定!$C$7,"III(厳選)","IV(見送り)")))</f>
        <v/>
      </c>
      <c r="Q78" s="22" t="str">
        <f aca="false">IF(B78="","",IF(I78="在庫中",IF($C$6=0,"",L78/$C$6),""))</f>
        <v/>
      </c>
      <c r="R78" s="24"/>
    </row>
    <row r="79" customFormat="false" ht="15" hidden="false" customHeight="false" outlineLevel="0" collapsed="false">
      <c r="A79" s="16" t="str">
        <f aca="false">IF(B79="","",ROW()-10)</f>
        <v/>
      </c>
      <c r="B79" s="24"/>
      <c r="C79" s="18"/>
      <c r="D79" s="24"/>
      <c r="E79" s="24"/>
      <c r="F79" s="24"/>
      <c r="G79" s="24"/>
      <c r="H79" s="24"/>
      <c r="I79" s="18"/>
      <c r="J79" s="29"/>
      <c r="K79" s="19"/>
      <c r="L79" s="19"/>
      <c r="M79" s="20"/>
      <c r="N79" s="21" t="str">
        <f aca="false">IF(B79="","",L79-K79)</f>
        <v/>
      </c>
      <c r="O79" s="22" t="str">
        <f aca="false">IF(B79="","",IF(K79=0,"",N79/K79))</f>
        <v/>
      </c>
      <c r="P79" s="7" t="str">
        <f aca="false">IF(B79="","",IF(M79&lt;=設定!$C$6,IF(O79&gt;=設定!$C$7,"I(コア)","II(回転)"),IF(O79&gt;=設定!$C$7,"III(厳選)","IV(見送り)")))</f>
        <v/>
      </c>
      <c r="Q79" s="22" t="str">
        <f aca="false">IF(B79="","",IF(I79="在庫中",IF($C$6=0,"",L79/$C$6),""))</f>
        <v/>
      </c>
      <c r="R79" s="24"/>
    </row>
    <row r="80" customFormat="false" ht="15" hidden="false" customHeight="false" outlineLevel="0" collapsed="false">
      <c r="A80" s="16" t="str">
        <f aca="false">IF(B80="","",ROW()-10)</f>
        <v/>
      </c>
      <c r="B80" s="24"/>
      <c r="C80" s="18"/>
      <c r="D80" s="24"/>
      <c r="E80" s="24"/>
      <c r="F80" s="24"/>
      <c r="G80" s="24"/>
      <c r="H80" s="24"/>
      <c r="I80" s="18"/>
      <c r="J80" s="29"/>
      <c r="K80" s="19"/>
      <c r="L80" s="19"/>
      <c r="M80" s="20"/>
      <c r="N80" s="21" t="str">
        <f aca="false">IF(B80="","",L80-K80)</f>
        <v/>
      </c>
      <c r="O80" s="22" t="str">
        <f aca="false">IF(B80="","",IF(K80=0,"",N80/K80))</f>
        <v/>
      </c>
      <c r="P80" s="7" t="str">
        <f aca="false">IF(B80="","",IF(M80&lt;=設定!$C$6,IF(O80&gt;=設定!$C$7,"I(コア)","II(回転)"),IF(O80&gt;=設定!$C$7,"III(厳選)","IV(見送り)")))</f>
        <v/>
      </c>
      <c r="Q80" s="22" t="str">
        <f aca="false">IF(B80="","",IF(I80="在庫中",IF($C$6=0,"",L80/$C$6),""))</f>
        <v/>
      </c>
      <c r="R80" s="24"/>
    </row>
    <row r="81" customFormat="false" ht="15" hidden="false" customHeight="false" outlineLevel="0" collapsed="false">
      <c r="A81" s="16" t="str">
        <f aca="false">IF(B81="","",ROW()-10)</f>
        <v/>
      </c>
      <c r="B81" s="24"/>
      <c r="C81" s="18"/>
      <c r="D81" s="24"/>
      <c r="E81" s="24"/>
      <c r="F81" s="24"/>
      <c r="G81" s="24"/>
      <c r="H81" s="24"/>
      <c r="I81" s="18"/>
      <c r="J81" s="29"/>
      <c r="K81" s="19"/>
      <c r="L81" s="19"/>
      <c r="M81" s="20"/>
      <c r="N81" s="21" t="str">
        <f aca="false">IF(B81="","",L81-K81)</f>
        <v/>
      </c>
      <c r="O81" s="22" t="str">
        <f aca="false">IF(B81="","",IF(K81=0,"",N81/K81))</f>
        <v/>
      </c>
      <c r="P81" s="7" t="str">
        <f aca="false">IF(B81="","",IF(M81&lt;=設定!$C$6,IF(O81&gt;=設定!$C$7,"I(コア)","II(回転)"),IF(O81&gt;=設定!$C$7,"III(厳選)","IV(見送り)")))</f>
        <v/>
      </c>
      <c r="Q81" s="22" t="str">
        <f aca="false">IF(B81="","",IF(I81="在庫中",IF($C$6=0,"",L81/$C$6),""))</f>
        <v/>
      </c>
      <c r="R81" s="24"/>
    </row>
    <row r="82" customFormat="false" ht="15" hidden="false" customHeight="false" outlineLevel="0" collapsed="false">
      <c r="A82" s="16" t="str">
        <f aca="false">IF(B82="","",ROW()-10)</f>
        <v/>
      </c>
      <c r="B82" s="24"/>
      <c r="C82" s="18"/>
      <c r="D82" s="24"/>
      <c r="E82" s="24"/>
      <c r="F82" s="24"/>
      <c r="G82" s="24"/>
      <c r="H82" s="24"/>
      <c r="I82" s="18"/>
      <c r="J82" s="29"/>
      <c r="K82" s="19"/>
      <c r="L82" s="19"/>
      <c r="M82" s="20"/>
      <c r="N82" s="21" t="str">
        <f aca="false">IF(B82="","",L82-K82)</f>
        <v/>
      </c>
      <c r="O82" s="22" t="str">
        <f aca="false">IF(B82="","",IF(K82=0,"",N82/K82))</f>
        <v/>
      </c>
      <c r="P82" s="7" t="str">
        <f aca="false">IF(B82="","",IF(M82&lt;=設定!$C$6,IF(O82&gt;=設定!$C$7,"I(コア)","II(回転)"),IF(O82&gt;=設定!$C$7,"III(厳選)","IV(見送り)")))</f>
        <v/>
      </c>
      <c r="Q82" s="22" t="str">
        <f aca="false">IF(B82="","",IF(I82="在庫中",IF($C$6=0,"",L82/$C$6),""))</f>
        <v/>
      </c>
      <c r="R82" s="24"/>
    </row>
    <row r="83" customFormat="false" ht="15" hidden="false" customHeight="false" outlineLevel="0" collapsed="false">
      <c r="A83" s="16" t="str">
        <f aca="false">IF(B83="","",ROW()-10)</f>
        <v/>
      </c>
      <c r="B83" s="24"/>
      <c r="C83" s="18"/>
      <c r="D83" s="24"/>
      <c r="E83" s="24"/>
      <c r="F83" s="24"/>
      <c r="G83" s="24"/>
      <c r="H83" s="24"/>
      <c r="I83" s="18"/>
      <c r="J83" s="29"/>
      <c r="K83" s="19"/>
      <c r="L83" s="19"/>
      <c r="M83" s="20"/>
      <c r="N83" s="21" t="str">
        <f aca="false">IF(B83="","",L83-K83)</f>
        <v/>
      </c>
      <c r="O83" s="22" t="str">
        <f aca="false">IF(B83="","",IF(K83=0,"",N83/K83))</f>
        <v/>
      </c>
      <c r="P83" s="7" t="str">
        <f aca="false">IF(B83="","",IF(M83&lt;=設定!$C$6,IF(O83&gt;=設定!$C$7,"I(コア)","II(回転)"),IF(O83&gt;=設定!$C$7,"III(厳選)","IV(見送り)")))</f>
        <v/>
      </c>
      <c r="Q83" s="22" t="str">
        <f aca="false">IF(B83="","",IF(I83="在庫中",IF($C$6=0,"",L83/$C$6),""))</f>
        <v/>
      </c>
      <c r="R83" s="24"/>
    </row>
    <row r="84" customFormat="false" ht="15" hidden="false" customHeight="false" outlineLevel="0" collapsed="false">
      <c r="A84" s="16" t="str">
        <f aca="false">IF(B84="","",ROW()-10)</f>
        <v/>
      </c>
      <c r="B84" s="24"/>
      <c r="C84" s="18"/>
      <c r="D84" s="24"/>
      <c r="E84" s="24"/>
      <c r="F84" s="24"/>
      <c r="G84" s="24"/>
      <c r="H84" s="24"/>
      <c r="I84" s="18"/>
      <c r="J84" s="29"/>
      <c r="K84" s="19"/>
      <c r="L84" s="19"/>
      <c r="M84" s="20"/>
      <c r="N84" s="21" t="str">
        <f aca="false">IF(B84="","",L84-K84)</f>
        <v/>
      </c>
      <c r="O84" s="22" t="str">
        <f aca="false">IF(B84="","",IF(K84=0,"",N84/K84))</f>
        <v/>
      </c>
      <c r="P84" s="7" t="str">
        <f aca="false">IF(B84="","",IF(M84&lt;=設定!$C$6,IF(O84&gt;=設定!$C$7,"I(コア)","II(回転)"),IF(O84&gt;=設定!$C$7,"III(厳選)","IV(見送り)")))</f>
        <v/>
      </c>
      <c r="Q84" s="22" t="str">
        <f aca="false">IF(B84="","",IF(I84="在庫中",IF($C$6=0,"",L84/$C$6),""))</f>
        <v/>
      </c>
      <c r="R84" s="24"/>
    </row>
    <row r="85" customFormat="false" ht="15" hidden="false" customHeight="false" outlineLevel="0" collapsed="false">
      <c r="A85" s="16" t="str">
        <f aca="false">IF(B85="","",ROW()-10)</f>
        <v/>
      </c>
      <c r="B85" s="24"/>
      <c r="C85" s="18"/>
      <c r="D85" s="24"/>
      <c r="E85" s="24"/>
      <c r="F85" s="24"/>
      <c r="G85" s="24"/>
      <c r="H85" s="24"/>
      <c r="I85" s="18"/>
      <c r="J85" s="29"/>
      <c r="K85" s="19"/>
      <c r="L85" s="19"/>
      <c r="M85" s="20"/>
      <c r="N85" s="21" t="str">
        <f aca="false">IF(B85="","",L85-K85)</f>
        <v/>
      </c>
      <c r="O85" s="22" t="str">
        <f aca="false">IF(B85="","",IF(K85=0,"",N85/K85))</f>
        <v/>
      </c>
      <c r="P85" s="7" t="str">
        <f aca="false">IF(B85="","",IF(M85&lt;=設定!$C$6,IF(O85&gt;=設定!$C$7,"I(コア)","II(回転)"),IF(O85&gt;=設定!$C$7,"III(厳選)","IV(見送り)")))</f>
        <v/>
      </c>
      <c r="Q85" s="22" t="str">
        <f aca="false">IF(B85="","",IF(I85="在庫中",IF($C$6=0,"",L85/$C$6),""))</f>
        <v/>
      </c>
      <c r="R85" s="24"/>
    </row>
    <row r="86" customFormat="false" ht="15" hidden="false" customHeight="false" outlineLevel="0" collapsed="false">
      <c r="A86" s="16" t="str">
        <f aca="false">IF(B86="","",ROW()-10)</f>
        <v/>
      </c>
      <c r="B86" s="24"/>
      <c r="C86" s="18"/>
      <c r="D86" s="24"/>
      <c r="E86" s="24"/>
      <c r="F86" s="24"/>
      <c r="G86" s="24"/>
      <c r="H86" s="24"/>
      <c r="I86" s="18"/>
      <c r="J86" s="29"/>
      <c r="K86" s="19"/>
      <c r="L86" s="19"/>
      <c r="M86" s="20"/>
      <c r="N86" s="21" t="str">
        <f aca="false">IF(B86="","",L86-K86)</f>
        <v/>
      </c>
      <c r="O86" s="22" t="str">
        <f aca="false">IF(B86="","",IF(K86=0,"",N86/K86))</f>
        <v/>
      </c>
      <c r="P86" s="7" t="str">
        <f aca="false">IF(B86="","",IF(M86&lt;=設定!$C$6,IF(O86&gt;=設定!$C$7,"I(コア)","II(回転)"),IF(O86&gt;=設定!$C$7,"III(厳選)","IV(見送り)")))</f>
        <v/>
      </c>
      <c r="Q86" s="22" t="str">
        <f aca="false">IF(B86="","",IF(I86="在庫中",IF($C$6=0,"",L86/$C$6),""))</f>
        <v/>
      </c>
      <c r="R86" s="24"/>
    </row>
    <row r="87" customFormat="false" ht="15" hidden="false" customHeight="false" outlineLevel="0" collapsed="false">
      <c r="A87" s="16" t="str">
        <f aca="false">IF(B87="","",ROW()-10)</f>
        <v/>
      </c>
      <c r="B87" s="24"/>
      <c r="C87" s="18"/>
      <c r="D87" s="24"/>
      <c r="E87" s="24"/>
      <c r="F87" s="24"/>
      <c r="G87" s="24"/>
      <c r="H87" s="24"/>
      <c r="I87" s="18"/>
      <c r="J87" s="29"/>
      <c r="K87" s="19"/>
      <c r="L87" s="19"/>
      <c r="M87" s="20"/>
      <c r="N87" s="21" t="str">
        <f aca="false">IF(B87="","",L87-K87)</f>
        <v/>
      </c>
      <c r="O87" s="22" t="str">
        <f aca="false">IF(B87="","",IF(K87=0,"",N87/K87))</f>
        <v/>
      </c>
      <c r="P87" s="7" t="str">
        <f aca="false">IF(B87="","",IF(M87&lt;=設定!$C$6,IF(O87&gt;=設定!$C$7,"I(コア)","II(回転)"),IF(O87&gt;=設定!$C$7,"III(厳選)","IV(見送り)")))</f>
        <v/>
      </c>
      <c r="Q87" s="22" t="str">
        <f aca="false">IF(B87="","",IF(I87="在庫中",IF($C$6=0,"",L87/$C$6),""))</f>
        <v/>
      </c>
      <c r="R87" s="24"/>
    </row>
    <row r="88" customFormat="false" ht="15" hidden="false" customHeight="false" outlineLevel="0" collapsed="false">
      <c r="A88" s="16" t="str">
        <f aca="false">IF(B88="","",ROW()-10)</f>
        <v/>
      </c>
      <c r="B88" s="24"/>
      <c r="C88" s="18"/>
      <c r="D88" s="24"/>
      <c r="E88" s="24"/>
      <c r="F88" s="24"/>
      <c r="G88" s="24"/>
      <c r="H88" s="24"/>
      <c r="I88" s="18"/>
      <c r="J88" s="29"/>
      <c r="K88" s="19"/>
      <c r="L88" s="19"/>
      <c r="M88" s="20"/>
      <c r="N88" s="21" t="str">
        <f aca="false">IF(B88="","",L88-K88)</f>
        <v/>
      </c>
      <c r="O88" s="22" t="str">
        <f aca="false">IF(B88="","",IF(K88=0,"",N88/K88))</f>
        <v/>
      </c>
      <c r="P88" s="7" t="str">
        <f aca="false">IF(B88="","",IF(M88&lt;=設定!$C$6,IF(O88&gt;=設定!$C$7,"I(コア)","II(回転)"),IF(O88&gt;=設定!$C$7,"III(厳選)","IV(見送り)")))</f>
        <v/>
      </c>
      <c r="Q88" s="22" t="str">
        <f aca="false">IF(B88="","",IF(I88="在庫中",IF($C$6=0,"",L88/$C$6),""))</f>
        <v/>
      </c>
      <c r="R88" s="24"/>
    </row>
    <row r="89" customFormat="false" ht="15" hidden="false" customHeight="false" outlineLevel="0" collapsed="false">
      <c r="A89" s="16" t="str">
        <f aca="false">IF(B89="","",ROW()-10)</f>
        <v/>
      </c>
      <c r="B89" s="24"/>
      <c r="C89" s="18"/>
      <c r="D89" s="24"/>
      <c r="E89" s="24"/>
      <c r="F89" s="24"/>
      <c r="G89" s="24"/>
      <c r="H89" s="24"/>
      <c r="I89" s="18"/>
      <c r="J89" s="29"/>
      <c r="K89" s="19"/>
      <c r="L89" s="19"/>
      <c r="M89" s="20"/>
      <c r="N89" s="21" t="str">
        <f aca="false">IF(B89="","",L89-K89)</f>
        <v/>
      </c>
      <c r="O89" s="22" t="str">
        <f aca="false">IF(B89="","",IF(K89=0,"",N89/K89))</f>
        <v/>
      </c>
      <c r="P89" s="7" t="str">
        <f aca="false">IF(B89="","",IF(M89&lt;=設定!$C$6,IF(O89&gt;=設定!$C$7,"I(コア)","II(回転)"),IF(O89&gt;=設定!$C$7,"III(厳選)","IV(見送り)")))</f>
        <v/>
      </c>
      <c r="Q89" s="22" t="str">
        <f aca="false">IF(B89="","",IF(I89="在庫中",IF($C$6=0,"",L89/$C$6),""))</f>
        <v/>
      </c>
      <c r="R89" s="24"/>
    </row>
    <row r="90" customFormat="false" ht="15" hidden="false" customHeight="false" outlineLevel="0" collapsed="false">
      <c r="A90" s="16" t="str">
        <f aca="false">IF(B90="","",ROW()-10)</f>
        <v/>
      </c>
      <c r="B90" s="24"/>
      <c r="C90" s="18"/>
      <c r="D90" s="24"/>
      <c r="E90" s="24"/>
      <c r="F90" s="24"/>
      <c r="G90" s="24"/>
      <c r="H90" s="24"/>
      <c r="I90" s="18"/>
      <c r="J90" s="29"/>
      <c r="K90" s="19"/>
      <c r="L90" s="19"/>
      <c r="M90" s="20"/>
      <c r="N90" s="21" t="str">
        <f aca="false">IF(B90="","",L90-K90)</f>
        <v/>
      </c>
      <c r="O90" s="22" t="str">
        <f aca="false">IF(B90="","",IF(K90=0,"",N90/K90))</f>
        <v/>
      </c>
      <c r="P90" s="7" t="str">
        <f aca="false">IF(B90="","",IF(M90&lt;=設定!$C$6,IF(O90&gt;=設定!$C$7,"I(コア)","II(回転)"),IF(O90&gt;=設定!$C$7,"III(厳選)","IV(見送り)")))</f>
        <v/>
      </c>
      <c r="Q90" s="22" t="str">
        <f aca="false">IF(B90="","",IF(I90="在庫中",IF($C$6=0,"",L90/$C$6),""))</f>
        <v/>
      </c>
      <c r="R90" s="24"/>
    </row>
    <row r="91" customFormat="false" ht="15" hidden="false" customHeight="false" outlineLevel="0" collapsed="false">
      <c r="A91" s="16" t="str">
        <f aca="false">IF(B91="","",ROW()-10)</f>
        <v/>
      </c>
      <c r="B91" s="24"/>
      <c r="C91" s="18"/>
      <c r="D91" s="24"/>
      <c r="E91" s="24"/>
      <c r="F91" s="24"/>
      <c r="G91" s="24"/>
      <c r="H91" s="24"/>
      <c r="I91" s="18"/>
      <c r="J91" s="29"/>
      <c r="K91" s="19"/>
      <c r="L91" s="19"/>
      <c r="M91" s="20"/>
      <c r="N91" s="21" t="str">
        <f aca="false">IF(B91="","",L91-K91)</f>
        <v/>
      </c>
      <c r="O91" s="22" t="str">
        <f aca="false">IF(B91="","",IF(K91=0,"",N91/K91))</f>
        <v/>
      </c>
      <c r="P91" s="7" t="str">
        <f aca="false">IF(B91="","",IF(M91&lt;=設定!$C$6,IF(O91&gt;=設定!$C$7,"I(コア)","II(回転)"),IF(O91&gt;=設定!$C$7,"III(厳選)","IV(見送り)")))</f>
        <v/>
      </c>
      <c r="Q91" s="22" t="str">
        <f aca="false">IF(B91="","",IF(I91="在庫中",IF($C$6=0,"",L91/$C$6),""))</f>
        <v/>
      </c>
      <c r="R91" s="24"/>
    </row>
    <row r="92" customFormat="false" ht="15" hidden="false" customHeight="false" outlineLevel="0" collapsed="false">
      <c r="A92" s="16" t="str">
        <f aca="false">IF(B92="","",ROW()-10)</f>
        <v/>
      </c>
      <c r="B92" s="24"/>
      <c r="C92" s="18"/>
      <c r="D92" s="24"/>
      <c r="E92" s="24"/>
      <c r="F92" s="24"/>
      <c r="G92" s="24"/>
      <c r="H92" s="24"/>
      <c r="I92" s="18"/>
      <c r="J92" s="29"/>
      <c r="K92" s="19"/>
      <c r="L92" s="19"/>
      <c r="M92" s="20"/>
      <c r="N92" s="21" t="str">
        <f aca="false">IF(B92="","",L92-K92)</f>
        <v/>
      </c>
      <c r="O92" s="22" t="str">
        <f aca="false">IF(B92="","",IF(K92=0,"",N92/K92))</f>
        <v/>
      </c>
      <c r="P92" s="7" t="str">
        <f aca="false">IF(B92="","",IF(M92&lt;=設定!$C$6,IF(O92&gt;=設定!$C$7,"I(コア)","II(回転)"),IF(O92&gt;=設定!$C$7,"III(厳選)","IV(見送り)")))</f>
        <v/>
      </c>
      <c r="Q92" s="22" t="str">
        <f aca="false">IF(B92="","",IF(I92="在庫中",IF($C$6=0,"",L92/$C$6),""))</f>
        <v/>
      </c>
      <c r="R92" s="24"/>
    </row>
    <row r="93" customFormat="false" ht="15" hidden="false" customHeight="false" outlineLevel="0" collapsed="false">
      <c r="A93" s="16" t="str">
        <f aca="false">IF(B93="","",ROW()-10)</f>
        <v/>
      </c>
      <c r="B93" s="24"/>
      <c r="C93" s="18"/>
      <c r="D93" s="24"/>
      <c r="E93" s="24"/>
      <c r="F93" s="24"/>
      <c r="G93" s="24"/>
      <c r="H93" s="24"/>
      <c r="I93" s="18"/>
      <c r="J93" s="29"/>
      <c r="K93" s="19"/>
      <c r="L93" s="19"/>
      <c r="M93" s="20"/>
      <c r="N93" s="21" t="str">
        <f aca="false">IF(B93="","",L93-K93)</f>
        <v/>
      </c>
      <c r="O93" s="22" t="str">
        <f aca="false">IF(B93="","",IF(K93=0,"",N93/K93))</f>
        <v/>
      </c>
      <c r="P93" s="7" t="str">
        <f aca="false">IF(B93="","",IF(M93&lt;=設定!$C$6,IF(O93&gt;=設定!$C$7,"I(コア)","II(回転)"),IF(O93&gt;=設定!$C$7,"III(厳選)","IV(見送り)")))</f>
        <v/>
      </c>
      <c r="Q93" s="22" t="str">
        <f aca="false">IF(B93="","",IF(I93="在庫中",IF($C$6=0,"",L93/$C$6),""))</f>
        <v/>
      </c>
      <c r="R93" s="24"/>
    </row>
    <row r="94" customFormat="false" ht="15" hidden="false" customHeight="false" outlineLevel="0" collapsed="false">
      <c r="A94" s="16" t="str">
        <f aca="false">IF(B94="","",ROW()-10)</f>
        <v/>
      </c>
      <c r="B94" s="24"/>
      <c r="C94" s="18"/>
      <c r="D94" s="24"/>
      <c r="E94" s="24"/>
      <c r="F94" s="24"/>
      <c r="G94" s="24"/>
      <c r="H94" s="24"/>
      <c r="I94" s="18"/>
      <c r="J94" s="29"/>
      <c r="K94" s="19"/>
      <c r="L94" s="19"/>
      <c r="M94" s="20"/>
      <c r="N94" s="21" t="str">
        <f aca="false">IF(B94="","",L94-K94)</f>
        <v/>
      </c>
      <c r="O94" s="22" t="str">
        <f aca="false">IF(B94="","",IF(K94=0,"",N94/K94))</f>
        <v/>
      </c>
      <c r="P94" s="7" t="str">
        <f aca="false">IF(B94="","",IF(M94&lt;=設定!$C$6,IF(O94&gt;=設定!$C$7,"I(コア)","II(回転)"),IF(O94&gt;=設定!$C$7,"III(厳選)","IV(見送り)")))</f>
        <v/>
      </c>
      <c r="Q94" s="22" t="str">
        <f aca="false">IF(B94="","",IF(I94="在庫中",IF($C$6=0,"",L94/$C$6),""))</f>
        <v/>
      </c>
      <c r="R94" s="24"/>
    </row>
    <row r="95" customFormat="false" ht="15" hidden="false" customHeight="false" outlineLevel="0" collapsed="false">
      <c r="A95" s="16" t="str">
        <f aca="false">IF(B95="","",ROW()-10)</f>
        <v/>
      </c>
      <c r="B95" s="24"/>
      <c r="C95" s="18"/>
      <c r="D95" s="24"/>
      <c r="E95" s="24"/>
      <c r="F95" s="24"/>
      <c r="G95" s="24"/>
      <c r="H95" s="24"/>
      <c r="I95" s="18"/>
      <c r="J95" s="29"/>
      <c r="K95" s="19"/>
      <c r="L95" s="19"/>
      <c r="M95" s="20"/>
      <c r="N95" s="21" t="str">
        <f aca="false">IF(B95="","",L95-K95)</f>
        <v/>
      </c>
      <c r="O95" s="22" t="str">
        <f aca="false">IF(B95="","",IF(K95=0,"",N95/K95))</f>
        <v/>
      </c>
      <c r="P95" s="7" t="str">
        <f aca="false">IF(B95="","",IF(M95&lt;=設定!$C$6,IF(O95&gt;=設定!$C$7,"I(コア)","II(回転)"),IF(O95&gt;=設定!$C$7,"III(厳選)","IV(見送り)")))</f>
        <v/>
      </c>
      <c r="Q95" s="22" t="str">
        <f aca="false">IF(B95="","",IF(I95="在庫中",IF($C$6=0,"",L95/$C$6),""))</f>
        <v/>
      </c>
      <c r="R95" s="24"/>
    </row>
    <row r="96" customFormat="false" ht="15" hidden="false" customHeight="false" outlineLevel="0" collapsed="false">
      <c r="A96" s="16" t="str">
        <f aca="false">IF(B96="","",ROW()-10)</f>
        <v/>
      </c>
      <c r="B96" s="24"/>
      <c r="C96" s="18"/>
      <c r="D96" s="24"/>
      <c r="E96" s="24"/>
      <c r="F96" s="24"/>
      <c r="G96" s="24"/>
      <c r="H96" s="24"/>
      <c r="I96" s="18"/>
      <c r="J96" s="29"/>
      <c r="K96" s="19"/>
      <c r="L96" s="19"/>
      <c r="M96" s="20"/>
      <c r="N96" s="21" t="str">
        <f aca="false">IF(B96="","",L96-K96)</f>
        <v/>
      </c>
      <c r="O96" s="22" t="str">
        <f aca="false">IF(B96="","",IF(K96=0,"",N96/K96))</f>
        <v/>
      </c>
      <c r="P96" s="7" t="str">
        <f aca="false">IF(B96="","",IF(M96&lt;=設定!$C$6,IF(O96&gt;=設定!$C$7,"I(コア)","II(回転)"),IF(O96&gt;=設定!$C$7,"III(厳選)","IV(見送り)")))</f>
        <v/>
      </c>
      <c r="Q96" s="22" t="str">
        <f aca="false">IF(B96="","",IF(I96="在庫中",IF($C$6=0,"",L96/$C$6),""))</f>
        <v/>
      </c>
      <c r="R96" s="24"/>
    </row>
    <row r="97" customFormat="false" ht="15" hidden="false" customHeight="false" outlineLevel="0" collapsed="false">
      <c r="A97" s="16" t="str">
        <f aca="false">IF(B97="","",ROW()-10)</f>
        <v/>
      </c>
      <c r="B97" s="24"/>
      <c r="C97" s="18"/>
      <c r="D97" s="24"/>
      <c r="E97" s="24"/>
      <c r="F97" s="24"/>
      <c r="G97" s="24"/>
      <c r="H97" s="24"/>
      <c r="I97" s="18"/>
      <c r="J97" s="29"/>
      <c r="K97" s="19"/>
      <c r="L97" s="19"/>
      <c r="M97" s="20"/>
      <c r="N97" s="21" t="str">
        <f aca="false">IF(B97="","",L97-K97)</f>
        <v/>
      </c>
      <c r="O97" s="22" t="str">
        <f aca="false">IF(B97="","",IF(K97=0,"",N97/K97))</f>
        <v/>
      </c>
      <c r="P97" s="7" t="str">
        <f aca="false">IF(B97="","",IF(M97&lt;=設定!$C$6,IF(O97&gt;=設定!$C$7,"I(コア)","II(回転)"),IF(O97&gt;=設定!$C$7,"III(厳選)","IV(見送り)")))</f>
        <v/>
      </c>
      <c r="Q97" s="22" t="str">
        <f aca="false">IF(B97="","",IF(I97="在庫中",IF($C$6=0,"",L97/$C$6),""))</f>
        <v/>
      </c>
      <c r="R97" s="24"/>
    </row>
    <row r="98" customFormat="false" ht="15" hidden="false" customHeight="false" outlineLevel="0" collapsed="false">
      <c r="A98" s="16" t="str">
        <f aca="false">IF(B98="","",ROW()-10)</f>
        <v/>
      </c>
      <c r="B98" s="24"/>
      <c r="C98" s="18"/>
      <c r="D98" s="24"/>
      <c r="E98" s="24"/>
      <c r="F98" s="24"/>
      <c r="G98" s="24"/>
      <c r="H98" s="24"/>
      <c r="I98" s="18"/>
      <c r="J98" s="29"/>
      <c r="K98" s="19"/>
      <c r="L98" s="19"/>
      <c r="M98" s="20"/>
      <c r="N98" s="21" t="str">
        <f aca="false">IF(B98="","",L98-K98)</f>
        <v/>
      </c>
      <c r="O98" s="22" t="str">
        <f aca="false">IF(B98="","",IF(K98=0,"",N98/K98))</f>
        <v/>
      </c>
      <c r="P98" s="7" t="str">
        <f aca="false">IF(B98="","",IF(M98&lt;=設定!$C$6,IF(O98&gt;=設定!$C$7,"I(コア)","II(回転)"),IF(O98&gt;=設定!$C$7,"III(厳選)","IV(見送り)")))</f>
        <v/>
      </c>
      <c r="Q98" s="22" t="str">
        <f aca="false">IF(B98="","",IF(I98="在庫中",IF($C$6=0,"",L98/$C$6),""))</f>
        <v/>
      </c>
      <c r="R98" s="24"/>
    </row>
    <row r="99" customFormat="false" ht="15" hidden="false" customHeight="false" outlineLevel="0" collapsed="false">
      <c r="A99" s="16" t="str">
        <f aca="false">IF(B99="","",ROW()-10)</f>
        <v/>
      </c>
      <c r="B99" s="24"/>
      <c r="C99" s="18"/>
      <c r="D99" s="24"/>
      <c r="E99" s="24"/>
      <c r="F99" s="24"/>
      <c r="G99" s="24"/>
      <c r="H99" s="24"/>
      <c r="I99" s="18"/>
      <c r="J99" s="29"/>
      <c r="K99" s="19"/>
      <c r="L99" s="19"/>
      <c r="M99" s="20"/>
      <c r="N99" s="21" t="str">
        <f aca="false">IF(B99="","",L99-K99)</f>
        <v/>
      </c>
      <c r="O99" s="22" t="str">
        <f aca="false">IF(B99="","",IF(K99=0,"",N99/K99))</f>
        <v/>
      </c>
      <c r="P99" s="7" t="str">
        <f aca="false">IF(B99="","",IF(M99&lt;=設定!$C$6,IF(O99&gt;=設定!$C$7,"I(コア)","II(回転)"),IF(O99&gt;=設定!$C$7,"III(厳選)","IV(見送り)")))</f>
        <v/>
      </c>
      <c r="Q99" s="22" t="str">
        <f aca="false">IF(B99="","",IF(I99="在庫中",IF($C$6=0,"",L99/$C$6),""))</f>
        <v/>
      </c>
      <c r="R99" s="24"/>
    </row>
    <row r="100" customFormat="false" ht="15" hidden="false" customHeight="false" outlineLevel="0" collapsed="false">
      <c r="A100" s="16" t="str">
        <f aca="false">IF(B100="","",ROW()-10)</f>
        <v/>
      </c>
      <c r="B100" s="24"/>
      <c r="C100" s="18"/>
      <c r="D100" s="24"/>
      <c r="E100" s="24"/>
      <c r="F100" s="24"/>
      <c r="G100" s="24"/>
      <c r="H100" s="24"/>
      <c r="I100" s="18"/>
      <c r="J100" s="29"/>
      <c r="K100" s="19"/>
      <c r="L100" s="19"/>
      <c r="M100" s="20"/>
      <c r="N100" s="21" t="str">
        <f aca="false">IF(B100="","",L100-K100)</f>
        <v/>
      </c>
      <c r="O100" s="22" t="str">
        <f aca="false">IF(B100="","",IF(K100=0,"",N100/K100))</f>
        <v/>
      </c>
      <c r="P100" s="7" t="str">
        <f aca="false">IF(B100="","",IF(M100&lt;=設定!$C$6,IF(O100&gt;=設定!$C$7,"I(コア)","II(回転)"),IF(O100&gt;=設定!$C$7,"III(厳選)","IV(見送り)")))</f>
        <v/>
      </c>
      <c r="Q100" s="22" t="str">
        <f aca="false">IF(B100="","",IF(I100="在庫中",IF($C$6=0,"",L100/$C$6),""))</f>
        <v/>
      </c>
      <c r="R100" s="24"/>
    </row>
    <row r="101" customFormat="false" ht="15" hidden="false" customHeight="false" outlineLevel="0" collapsed="false">
      <c r="A101" s="16" t="str">
        <f aca="false">IF(B101="","",ROW()-10)</f>
        <v/>
      </c>
      <c r="B101" s="24"/>
      <c r="C101" s="18"/>
      <c r="D101" s="24"/>
      <c r="E101" s="24"/>
      <c r="F101" s="24"/>
      <c r="G101" s="24"/>
      <c r="H101" s="24"/>
      <c r="I101" s="18"/>
      <c r="J101" s="29"/>
      <c r="K101" s="19"/>
      <c r="L101" s="19"/>
      <c r="M101" s="20"/>
      <c r="N101" s="21" t="str">
        <f aca="false">IF(B101="","",L101-K101)</f>
        <v/>
      </c>
      <c r="O101" s="22" t="str">
        <f aca="false">IF(B101="","",IF(K101=0,"",N101/K101))</f>
        <v/>
      </c>
      <c r="P101" s="7" t="str">
        <f aca="false">IF(B101="","",IF(M101&lt;=設定!$C$6,IF(O101&gt;=設定!$C$7,"I(コア)","II(回転)"),IF(O101&gt;=設定!$C$7,"III(厳選)","IV(見送り)")))</f>
        <v/>
      </c>
      <c r="Q101" s="22" t="str">
        <f aca="false">IF(B101="","",IF(I101="在庫中",IF($C$6=0,"",L101/$C$6),""))</f>
        <v/>
      </c>
      <c r="R101" s="24"/>
    </row>
    <row r="102" customFormat="false" ht="15" hidden="false" customHeight="false" outlineLevel="0" collapsed="false">
      <c r="A102" s="16" t="str">
        <f aca="false">IF(B102="","",ROW()-10)</f>
        <v/>
      </c>
      <c r="B102" s="24"/>
      <c r="C102" s="18"/>
      <c r="D102" s="24"/>
      <c r="E102" s="24"/>
      <c r="F102" s="24"/>
      <c r="G102" s="24"/>
      <c r="H102" s="24"/>
      <c r="I102" s="18"/>
      <c r="J102" s="29"/>
      <c r="K102" s="19"/>
      <c r="L102" s="19"/>
      <c r="M102" s="20"/>
      <c r="N102" s="21" t="str">
        <f aca="false">IF(B102="","",L102-K102)</f>
        <v/>
      </c>
      <c r="O102" s="22" t="str">
        <f aca="false">IF(B102="","",IF(K102=0,"",N102/K102))</f>
        <v/>
      </c>
      <c r="P102" s="7" t="str">
        <f aca="false">IF(B102="","",IF(M102&lt;=設定!$C$6,IF(O102&gt;=設定!$C$7,"I(コア)","II(回転)"),IF(O102&gt;=設定!$C$7,"III(厳選)","IV(見送り)")))</f>
        <v/>
      </c>
      <c r="Q102" s="22" t="str">
        <f aca="false">IF(B102="","",IF(I102="在庫中",IF($C$6=0,"",L102/$C$6),""))</f>
        <v/>
      </c>
      <c r="R102" s="24"/>
    </row>
    <row r="103" customFormat="false" ht="15" hidden="false" customHeight="false" outlineLevel="0" collapsed="false">
      <c r="A103" s="16" t="str">
        <f aca="false">IF(B103="","",ROW()-10)</f>
        <v/>
      </c>
      <c r="B103" s="24"/>
      <c r="C103" s="18"/>
      <c r="D103" s="24"/>
      <c r="E103" s="24"/>
      <c r="F103" s="24"/>
      <c r="G103" s="24"/>
      <c r="H103" s="24"/>
      <c r="I103" s="18"/>
      <c r="J103" s="29"/>
      <c r="K103" s="19"/>
      <c r="L103" s="19"/>
      <c r="M103" s="20"/>
      <c r="N103" s="21" t="str">
        <f aca="false">IF(B103="","",L103-K103)</f>
        <v/>
      </c>
      <c r="O103" s="22" t="str">
        <f aca="false">IF(B103="","",IF(K103=0,"",N103/K103))</f>
        <v/>
      </c>
      <c r="P103" s="7" t="str">
        <f aca="false">IF(B103="","",IF(M103&lt;=設定!$C$6,IF(O103&gt;=設定!$C$7,"I(コア)","II(回転)"),IF(O103&gt;=設定!$C$7,"III(厳選)","IV(見送り)")))</f>
        <v/>
      </c>
      <c r="Q103" s="22" t="str">
        <f aca="false">IF(B103="","",IF(I103="在庫中",IF($C$6=0,"",L103/$C$6),""))</f>
        <v/>
      </c>
      <c r="R103" s="24"/>
    </row>
    <row r="104" customFormat="false" ht="15" hidden="false" customHeight="false" outlineLevel="0" collapsed="false">
      <c r="A104" s="16" t="str">
        <f aca="false">IF(B104="","",ROW()-10)</f>
        <v/>
      </c>
      <c r="B104" s="24"/>
      <c r="C104" s="18"/>
      <c r="D104" s="24"/>
      <c r="E104" s="24"/>
      <c r="F104" s="24"/>
      <c r="G104" s="24"/>
      <c r="H104" s="24"/>
      <c r="I104" s="18"/>
      <c r="J104" s="29"/>
      <c r="K104" s="19"/>
      <c r="L104" s="19"/>
      <c r="M104" s="20"/>
      <c r="N104" s="21" t="str">
        <f aca="false">IF(B104="","",L104-K104)</f>
        <v/>
      </c>
      <c r="O104" s="22" t="str">
        <f aca="false">IF(B104="","",IF(K104=0,"",N104/K104))</f>
        <v/>
      </c>
      <c r="P104" s="7" t="str">
        <f aca="false">IF(B104="","",IF(M104&lt;=設定!$C$6,IF(O104&gt;=設定!$C$7,"I(コア)","II(回転)"),IF(O104&gt;=設定!$C$7,"III(厳選)","IV(見送り)")))</f>
        <v/>
      </c>
      <c r="Q104" s="22" t="str">
        <f aca="false">IF(B104="","",IF(I104="在庫中",IF($C$6=0,"",L104/$C$6),""))</f>
        <v/>
      </c>
      <c r="R104" s="24"/>
    </row>
    <row r="105" customFormat="false" ht="15" hidden="false" customHeight="false" outlineLevel="0" collapsed="false">
      <c r="A105" s="16" t="str">
        <f aca="false">IF(B105="","",ROW()-10)</f>
        <v/>
      </c>
      <c r="B105" s="24"/>
      <c r="C105" s="18"/>
      <c r="D105" s="24"/>
      <c r="E105" s="24"/>
      <c r="F105" s="24"/>
      <c r="G105" s="24"/>
      <c r="H105" s="24"/>
      <c r="I105" s="18"/>
      <c r="J105" s="29"/>
      <c r="K105" s="19"/>
      <c r="L105" s="19"/>
      <c r="M105" s="20"/>
      <c r="N105" s="21" t="str">
        <f aca="false">IF(B105="","",L105-K105)</f>
        <v/>
      </c>
      <c r="O105" s="22" t="str">
        <f aca="false">IF(B105="","",IF(K105=0,"",N105/K105))</f>
        <v/>
      </c>
      <c r="P105" s="7" t="str">
        <f aca="false">IF(B105="","",IF(M105&lt;=設定!$C$6,IF(O105&gt;=設定!$C$7,"I(コア)","II(回転)"),IF(O105&gt;=設定!$C$7,"III(厳選)","IV(見送り)")))</f>
        <v/>
      </c>
      <c r="Q105" s="22" t="str">
        <f aca="false">IF(B105="","",IF(I105="在庫中",IF($C$6=0,"",L105/$C$6),""))</f>
        <v/>
      </c>
      <c r="R105" s="24"/>
    </row>
    <row r="106" customFormat="false" ht="15" hidden="false" customHeight="false" outlineLevel="0" collapsed="false">
      <c r="A106" s="16" t="str">
        <f aca="false">IF(B106="","",ROW()-10)</f>
        <v/>
      </c>
      <c r="B106" s="24"/>
      <c r="C106" s="18"/>
      <c r="D106" s="24"/>
      <c r="E106" s="24"/>
      <c r="F106" s="24"/>
      <c r="G106" s="24"/>
      <c r="H106" s="24"/>
      <c r="I106" s="18"/>
      <c r="J106" s="29"/>
      <c r="K106" s="19"/>
      <c r="L106" s="19"/>
      <c r="M106" s="20"/>
      <c r="N106" s="21" t="str">
        <f aca="false">IF(B106="","",L106-K106)</f>
        <v/>
      </c>
      <c r="O106" s="22" t="str">
        <f aca="false">IF(B106="","",IF(K106=0,"",N106/K106))</f>
        <v/>
      </c>
      <c r="P106" s="7" t="str">
        <f aca="false">IF(B106="","",IF(M106&lt;=設定!$C$6,IF(O106&gt;=設定!$C$7,"I(コア)","II(回転)"),IF(O106&gt;=設定!$C$7,"III(厳選)","IV(見送り)")))</f>
        <v/>
      </c>
      <c r="Q106" s="22" t="str">
        <f aca="false">IF(B106="","",IF(I106="在庫中",IF($C$6=0,"",L106/$C$6),""))</f>
        <v/>
      </c>
      <c r="R106" s="24"/>
    </row>
    <row r="107" customFormat="false" ht="15" hidden="false" customHeight="false" outlineLevel="0" collapsed="false">
      <c r="A107" s="16" t="str">
        <f aca="false">IF(B107="","",ROW()-10)</f>
        <v/>
      </c>
      <c r="B107" s="24"/>
      <c r="C107" s="18"/>
      <c r="D107" s="24"/>
      <c r="E107" s="24"/>
      <c r="F107" s="24"/>
      <c r="G107" s="24"/>
      <c r="H107" s="24"/>
      <c r="I107" s="18"/>
      <c r="J107" s="29"/>
      <c r="K107" s="19"/>
      <c r="L107" s="19"/>
      <c r="M107" s="20"/>
      <c r="N107" s="21" t="str">
        <f aca="false">IF(B107="","",L107-K107)</f>
        <v/>
      </c>
      <c r="O107" s="22" t="str">
        <f aca="false">IF(B107="","",IF(K107=0,"",N107/K107))</f>
        <v/>
      </c>
      <c r="P107" s="7" t="str">
        <f aca="false">IF(B107="","",IF(M107&lt;=設定!$C$6,IF(O107&gt;=設定!$C$7,"I(コア)","II(回転)"),IF(O107&gt;=設定!$C$7,"III(厳選)","IV(見送り)")))</f>
        <v/>
      </c>
      <c r="Q107" s="22" t="str">
        <f aca="false">IF(B107="","",IF(I107="在庫中",IF($C$6=0,"",L107/$C$6),""))</f>
        <v/>
      </c>
      <c r="R107" s="24"/>
    </row>
    <row r="108" customFormat="false" ht="15" hidden="false" customHeight="false" outlineLevel="0" collapsed="false">
      <c r="A108" s="16" t="str">
        <f aca="false">IF(B108="","",ROW()-10)</f>
        <v/>
      </c>
      <c r="B108" s="24"/>
      <c r="C108" s="18"/>
      <c r="D108" s="24"/>
      <c r="E108" s="24"/>
      <c r="F108" s="24"/>
      <c r="G108" s="24"/>
      <c r="H108" s="24"/>
      <c r="I108" s="18"/>
      <c r="J108" s="29"/>
      <c r="K108" s="19"/>
      <c r="L108" s="19"/>
      <c r="M108" s="20"/>
      <c r="N108" s="21" t="str">
        <f aca="false">IF(B108="","",L108-K108)</f>
        <v/>
      </c>
      <c r="O108" s="22" t="str">
        <f aca="false">IF(B108="","",IF(K108=0,"",N108/K108))</f>
        <v/>
      </c>
      <c r="P108" s="7" t="str">
        <f aca="false">IF(B108="","",IF(M108&lt;=設定!$C$6,IF(O108&gt;=設定!$C$7,"I(コア)","II(回転)"),IF(O108&gt;=設定!$C$7,"III(厳選)","IV(見送り)")))</f>
        <v/>
      </c>
      <c r="Q108" s="22" t="str">
        <f aca="false">IF(B108="","",IF(I108="在庫中",IF($C$6=0,"",L108/$C$6),""))</f>
        <v/>
      </c>
      <c r="R108" s="24"/>
    </row>
    <row r="109" customFormat="false" ht="15" hidden="false" customHeight="false" outlineLevel="0" collapsed="false">
      <c r="A109" s="16" t="str">
        <f aca="false">IF(B109="","",ROW()-10)</f>
        <v/>
      </c>
      <c r="B109" s="24"/>
      <c r="C109" s="18"/>
      <c r="D109" s="24"/>
      <c r="E109" s="24"/>
      <c r="F109" s="24"/>
      <c r="G109" s="24"/>
      <c r="H109" s="24"/>
      <c r="I109" s="18"/>
      <c r="J109" s="29"/>
      <c r="K109" s="19"/>
      <c r="L109" s="19"/>
      <c r="M109" s="20"/>
      <c r="N109" s="21" t="str">
        <f aca="false">IF(B109="","",L109-K109)</f>
        <v/>
      </c>
      <c r="O109" s="22" t="str">
        <f aca="false">IF(B109="","",IF(K109=0,"",N109/K109))</f>
        <v/>
      </c>
      <c r="P109" s="7" t="str">
        <f aca="false">IF(B109="","",IF(M109&lt;=設定!$C$6,IF(O109&gt;=設定!$C$7,"I(コア)","II(回転)"),IF(O109&gt;=設定!$C$7,"III(厳選)","IV(見送り)")))</f>
        <v/>
      </c>
      <c r="Q109" s="22" t="str">
        <f aca="false">IF(B109="","",IF(I109="在庫中",IF($C$6=0,"",L109/$C$6),""))</f>
        <v/>
      </c>
      <c r="R109" s="24"/>
    </row>
    <row r="110" customFormat="false" ht="15" hidden="false" customHeight="false" outlineLevel="0" collapsed="false">
      <c r="A110" s="16" t="str">
        <f aca="false">IF(B110="","",ROW()-10)</f>
        <v/>
      </c>
      <c r="B110" s="24"/>
      <c r="C110" s="18"/>
      <c r="D110" s="24"/>
      <c r="E110" s="24"/>
      <c r="F110" s="24"/>
      <c r="G110" s="24"/>
      <c r="H110" s="24"/>
      <c r="I110" s="18"/>
      <c r="J110" s="29"/>
      <c r="K110" s="19"/>
      <c r="L110" s="19"/>
      <c r="M110" s="20"/>
      <c r="N110" s="21" t="str">
        <f aca="false">IF(B110="","",L110-K110)</f>
        <v/>
      </c>
      <c r="O110" s="22" t="str">
        <f aca="false">IF(B110="","",IF(K110=0,"",N110/K110))</f>
        <v/>
      </c>
      <c r="P110" s="7" t="str">
        <f aca="false">IF(B110="","",IF(M110&lt;=設定!$C$6,IF(O110&gt;=設定!$C$7,"I(コア)","II(回転)"),IF(O110&gt;=設定!$C$7,"III(厳選)","IV(見送り)")))</f>
        <v/>
      </c>
      <c r="Q110" s="22" t="str">
        <f aca="false">IF(B110="","",IF(I110="在庫中",IF($C$6=0,"",L110/$C$6),""))</f>
        <v/>
      </c>
      <c r="R110" s="24"/>
    </row>
  </sheetData>
  <dataValidations count="4">
    <dataValidation allowBlank="true" errorStyle="stop" operator="between" showDropDown="false" showErrorMessage="false" showInputMessage="false" sqref="C11:C110" type="list">
      <formula1>設定!$B$18:$B$23</formula1>
      <formula2>0</formula2>
    </dataValidation>
    <dataValidation allowBlank="true" errorStyle="stop" operator="between" showDropDown="false" showErrorMessage="false" showInputMessage="false" sqref="H11:H110" type="list">
      <formula1>設定!$B$27:$B$31</formula1>
      <formula2>0</formula2>
    </dataValidation>
    <dataValidation allowBlank="true" errorStyle="stop" operator="between" showDropDown="false" showErrorMessage="false" showInputMessage="false" sqref="I11:I110" type="list">
      <formula1>設定!$B$35:$B$37</formula1>
      <formula2>0</formula2>
    </dataValidation>
    <dataValidation allowBlank="true" errorStyle="stop" operator="between" showDropDown="false" showErrorMessage="false" showInputMessage="false" sqref="F11:G110" type="list">
      <formula1>"○,×"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B2:J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5" min="4" style="0" width="12"/>
    <col collapsed="false" customWidth="true" hidden="false" outlineLevel="0" max="6" min="6" style="0" width="4"/>
    <col collapsed="false" customWidth="true" hidden="false" outlineLevel="0" max="7" min="7" style="0" width="20"/>
    <col collapsed="false" customWidth="true" hidden="false" outlineLevel="0" max="8" min="8" style="0" width="16"/>
    <col collapsed="false" customWidth="true" hidden="false" outlineLevel="0" max="12" min="9" style="0" width="12"/>
  </cols>
  <sheetData>
    <row r="2" customFormat="false" ht="19.7" hidden="false" customHeight="false" outlineLevel="0" collapsed="false">
      <c r="B2" s="1" t="s">
        <v>160</v>
      </c>
    </row>
    <row r="3" customFormat="false" ht="15" hidden="false" customHeight="false" outlineLevel="0" collapsed="false">
      <c r="B3" s="2" t="s">
        <v>161</v>
      </c>
    </row>
    <row r="5" customFormat="false" ht="15" hidden="false" customHeight="false" outlineLevel="0" collapsed="false">
      <c r="B5" s="3" t="s">
        <v>162</v>
      </c>
    </row>
    <row r="6" customFormat="false" ht="15" hidden="false" customHeight="false" outlineLevel="0" collapsed="false">
      <c r="B6" s="7" t="s">
        <v>134</v>
      </c>
      <c r="C6" s="30" t="n">
        <f aca="false">在庫管理!$C$5</f>
        <v>90000</v>
      </c>
    </row>
    <row r="7" customFormat="false" ht="15" hidden="false" customHeight="false" outlineLevel="0" collapsed="false">
      <c r="B7" s="7" t="s">
        <v>135</v>
      </c>
      <c r="C7" s="30" t="n">
        <f aca="false">在庫管理!$C$6</f>
        <v>111500</v>
      </c>
    </row>
    <row r="8" customFormat="false" ht="15" hidden="false" customHeight="false" outlineLevel="0" collapsed="false">
      <c r="B8" s="7" t="s">
        <v>136</v>
      </c>
      <c r="C8" s="30" t="n">
        <f aca="false">在庫管理!$C$7</f>
        <v>21500</v>
      </c>
    </row>
    <row r="9" customFormat="false" ht="15" hidden="false" customHeight="false" outlineLevel="0" collapsed="false">
      <c r="B9" s="7" t="s">
        <v>163</v>
      </c>
      <c r="C9" s="31" t="n">
        <f aca="false">在庫管理!$C$8</f>
        <v>0.238888888888889</v>
      </c>
    </row>
    <row r="10" customFormat="false" ht="15" hidden="false" customHeight="false" outlineLevel="0" collapsed="false">
      <c r="B10" s="15" t="s">
        <v>164</v>
      </c>
      <c r="C10" s="32" t="n">
        <f aca="false">IFERROR($C$7/$C$6,"")</f>
        <v>1.23888888888889</v>
      </c>
    </row>
    <row r="11" customFormat="false" ht="15" hidden="false" customHeight="false" outlineLevel="0" collapsed="false">
      <c r="B11" s="7" t="s">
        <v>165</v>
      </c>
      <c r="C11" s="33" t="n">
        <f aca="false">IFERROR(SUMPRODUCT((在庫管理!$I$11:$I$110="在庫中")*在庫管理!$M$11:$M$110*在庫管理!$L$11:$L$110)/$C$7,"")</f>
        <v>32.5650224215247</v>
      </c>
    </row>
    <row r="12" customFormat="false" ht="15" hidden="false" customHeight="false" outlineLevel="0" collapsed="false">
      <c r="B12" s="7" t="s">
        <v>166</v>
      </c>
      <c r="C12" s="34" t="n">
        <f aca="false">IFERROR(365/$C$11,"")</f>
        <v>11.2083448085927</v>
      </c>
    </row>
    <row r="14" customFormat="false" ht="15" hidden="false" customHeight="false" outlineLevel="0" collapsed="false">
      <c r="B14" s="3" t="s">
        <v>167</v>
      </c>
    </row>
    <row r="15" customFormat="false" ht="15" hidden="false" customHeight="false" outlineLevel="0" collapsed="false">
      <c r="B15" s="7" t="s">
        <v>168</v>
      </c>
      <c r="C15" s="22" t="n">
        <f aca="false">IFERROR(SUMIFS(在庫管理!$L$11:$L$110,在庫管理!$I$11:$I$110,"在庫中",在庫管理!$M$11:$M$110,"&lt;="&amp;設定!$C$6)/$C$7,"")</f>
        <v>0.560538116591928</v>
      </c>
    </row>
    <row r="16" customFormat="false" ht="15" hidden="false" customHeight="false" outlineLevel="0" collapsed="false">
      <c r="B16" s="7" t="s">
        <v>169</v>
      </c>
      <c r="C16" s="22" t="n">
        <f aca="false">IFERROR(SUMIFS(在庫管理!$L$11:$L$110,在庫管理!$I$11:$I$110,"在庫中",在庫管理!$M$11:$M$110,"&gt;"&amp;設定!$C$8)/$C$7,"")</f>
        <v>0</v>
      </c>
    </row>
    <row r="17" customFormat="false" ht="15" hidden="false" customHeight="false" outlineLevel="0" collapsed="false">
      <c r="B17" s="7" t="s">
        <v>170</v>
      </c>
      <c r="C17" s="22" t="n">
        <f aca="false">IFERROR((SUMIFS(在庫管理!$L$11:$L$110,在庫管理!$I$11:$I$110,"在庫中",在庫管理!$P$11:$P$110,"I(コア)")+SUMIFS(在庫管理!$L$11:$L$110,在庫管理!$I$11:$I$110,"在庫中",在庫管理!$P$11:$P$110,"II(回転)"))/$C$7,"")</f>
        <v>0.560538116591928</v>
      </c>
    </row>
    <row r="18" customFormat="false" ht="15" hidden="false" customHeight="false" outlineLevel="0" collapsed="false">
      <c r="B18" s="7" t="s">
        <v>171</v>
      </c>
      <c r="C18" s="22" t="n">
        <f aca="false">IFERROR((SUMIFS(在庫管理!$L$11:$L$110,在庫管理!$I$11:$I$110,"在庫中",在庫管理!$P$11:$P$110,"III(厳選)")+SUMIFS(在庫管理!$L$11:$L$110,在庫管理!$I$11:$I$110,"在庫中",在庫管理!$P$11:$P$110,"IV(見送り)"))/$C$7,"")</f>
        <v>0.439461883408072</v>
      </c>
    </row>
    <row r="20" customFormat="false" ht="15" hidden="false" customHeight="false" outlineLevel="0" collapsed="false">
      <c r="B20" s="3" t="s">
        <v>172</v>
      </c>
    </row>
    <row r="22" customFormat="false" ht="15" hidden="false" customHeight="false" outlineLevel="0" collapsed="false">
      <c r="B22" s="10" t="s">
        <v>85</v>
      </c>
      <c r="C22" s="10" t="s">
        <v>173</v>
      </c>
      <c r="D22" s="10" t="s">
        <v>174</v>
      </c>
      <c r="E22" s="17" t="s">
        <v>175</v>
      </c>
      <c r="G22" s="10" t="s">
        <v>92</v>
      </c>
      <c r="H22" s="10" t="s">
        <v>173</v>
      </c>
      <c r="I22" s="10" t="s">
        <v>174</v>
      </c>
      <c r="J22" s="17" t="s">
        <v>175</v>
      </c>
    </row>
    <row r="23" customFormat="false" ht="15" hidden="false" customHeight="false" outlineLevel="0" collapsed="false">
      <c r="B23" s="7" t="str">
        <f aca="false">設定!B18</f>
        <v>フィギュア</v>
      </c>
      <c r="C23" s="21" t="n">
        <f aca="false">SUMIFS(在庫管理!$L$11:$L$110,在庫管理!$I$11:$I$110,"在庫中",在庫管理!$C$11:$C$110,$B23)</f>
        <v>31000</v>
      </c>
      <c r="D23" s="22" t="n">
        <f aca="false">IFERROR($C23/$C$7,"")</f>
        <v>0.278026905829596</v>
      </c>
      <c r="E23" s="35" t="n">
        <f aca="false">IFERROR($D23^2*10000,0)</f>
        <v>772.989603651793</v>
      </c>
      <c r="G23" s="15" t="s">
        <v>35</v>
      </c>
      <c r="H23" s="21" t="n">
        <f aca="false">SUMIFS(在庫管理!$L$11:$L$110,在庫管理!$I$11:$I$110,"在庫中",在庫管理!$P$11:$P$110,$G23)</f>
        <v>31000</v>
      </c>
      <c r="I23" s="22" t="n">
        <f aca="false">IFERROR($H23/$C$7,"")</f>
        <v>0.278026905829596</v>
      </c>
      <c r="J23" s="35" t="n">
        <f aca="false">IFERROR($I23^2*10000,0)</f>
        <v>772.989603651793</v>
      </c>
    </row>
    <row r="24" customFormat="false" ht="15" hidden="false" customHeight="false" outlineLevel="0" collapsed="false">
      <c r="B24" s="7" t="str">
        <f aca="false">設定!B19</f>
        <v>トレーディングカード</v>
      </c>
      <c r="C24" s="21" t="n">
        <f aca="false">SUMIFS(在庫管理!$L$11:$L$110,在庫管理!$I$11:$I$110,"在庫中",在庫管理!$C$11:$C$110,$B24)</f>
        <v>49000</v>
      </c>
      <c r="D24" s="22" t="n">
        <f aca="false">IFERROR($C24/$C$7,"")</f>
        <v>0.439461883408072</v>
      </c>
      <c r="E24" s="35" t="n">
        <f aca="false">IFERROR($D24^2*10000,0)</f>
        <v>1931.2674696857</v>
      </c>
      <c r="G24" s="15" t="s">
        <v>39</v>
      </c>
      <c r="H24" s="21" t="n">
        <f aca="false">SUMIFS(在庫管理!$L$11:$L$110,在庫管理!$I$11:$I$110,"在庫中",在庫管理!$P$11:$P$110,$G24)</f>
        <v>31500</v>
      </c>
      <c r="I24" s="22" t="n">
        <f aca="false">IFERROR($H24/$C$7,"")</f>
        <v>0.282511210762332</v>
      </c>
      <c r="J24" s="35" t="n">
        <f aca="false">IFERROR($I24^2*10000,0)</f>
        <v>798.125842063987</v>
      </c>
    </row>
    <row r="25" customFormat="false" ht="15" hidden="false" customHeight="false" outlineLevel="0" collapsed="false">
      <c r="B25" s="7" t="str">
        <f aca="false">設定!B20</f>
        <v>スニーカー</v>
      </c>
      <c r="C25" s="21" t="n">
        <f aca="false">SUMIFS(在庫管理!$L$11:$L$110,在庫管理!$I$11:$I$110,"在庫中",在庫管理!$C$11:$C$110,$B25)</f>
        <v>31500</v>
      </c>
      <c r="D25" s="22" t="n">
        <f aca="false">IFERROR($C25/$C$7,"")</f>
        <v>0.282511210762332</v>
      </c>
      <c r="E25" s="35" t="n">
        <f aca="false">IFERROR($D25^2*10000,0)</f>
        <v>798.125842063987</v>
      </c>
      <c r="G25" s="15" t="s">
        <v>42</v>
      </c>
      <c r="H25" s="21" t="n">
        <f aca="false">SUMIFS(在庫管理!$L$11:$L$110,在庫管理!$I$11:$I$110,"在庫中",在庫管理!$P$11:$P$110,$G25)</f>
        <v>49000</v>
      </c>
      <c r="I25" s="22" t="n">
        <f aca="false">IFERROR($H25/$C$7,"")</f>
        <v>0.439461883408072</v>
      </c>
      <c r="J25" s="35" t="n">
        <f aca="false">IFERROR($I25^2*10000,0)</f>
        <v>1931.2674696857</v>
      </c>
    </row>
    <row r="26" customFormat="false" ht="15" hidden="false" customHeight="false" outlineLevel="0" collapsed="false">
      <c r="B26" s="7" t="str">
        <f aca="false">設定!B21</f>
        <v>アパレル</v>
      </c>
      <c r="C26" s="21" t="n">
        <f aca="false">SUMIFS(在庫管理!$L$11:$L$110,在庫管理!$I$11:$I$110,"在庫中",在庫管理!$C$11:$C$110,$B26)</f>
        <v>0</v>
      </c>
      <c r="D26" s="22" t="n">
        <f aca="false">IFERROR($C26/$C$7,"")</f>
        <v>0</v>
      </c>
      <c r="E26" s="35" t="n">
        <f aca="false">IFERROR($D26^2*10000,0)</f>
        <v>0</v>
      </c>
      <c r="G26" s="15" t="s">
        <v>45</v>
      </c>
      <c r="H26" s="21" t="n">
        <f aca="false">SUMIFS(在庫管理!$L$11:$L$110,在庫管理!$I$11:$I$110,"在庫中",在庫管理!$P$11:$P$110,$G26)</f>
        <v>0</v>
      </c>
      <c r="I26" s="22" t="n">
        <f aca="false">IFERROR($H26/$C$7,"")</f>
        <v>0</v>
      </c>
      <c r="J26" s="35" t="n">
        <f aca="false">IFERROR($I26^2*10000,0)</f>
        <v>0</v>
      </c>
    </row>
    <row r="27" customFormat="false" ht="15" hidden="false" customHeight="false" outlineLevel="0" collapsed="false">
      <c r="B27" s="7" t="str">
        <f aca="false">設定!B22</f>
        <v>アートトイ・グッズ</v>
      </c>
      <c r="C27" s="21" t="n">
        <f aca="false">SUMIFS(在庫管理!$L$11:$L$110,在庫管理!$I$11:$I$110,"在庫中",在庫管理!$C$11:$C$110,$B27)</f>
        <v>0</v>
      </c>
      <c r="D27" s="22" t="n">
        <f aca="false">IFERROR($C27/$C$7,"")</f>
        <v>0</v>
      </c>
      <c r="E27" s="35" t="n">
        <f aca="false">IFERROR($D27^2*10000,0)</f>
        <v>0</v>
      </c>
      <c r="G27" s="26" t="s">
        <v>176</v>
      </c>
      <c r="H27" s="28" t="n">
        <f aca="false">SUM(H23:H26)</f>
        <v>111500</v>
      </c>
      <c r="I27" s="27" t="n">
        <f aca="false">SUM(I23:I26)</f>
        <v>1</v>
      </c>
      <c r="J27" s="36" t="n">
        <f aca="false">SUM(J23:J26)</f>
        <v>3502.38291540148</v>
      </c>
    </row>
    <row r="28" customFormat="false" ht="15" hidden="false" customHeight="false" outlineLevel="0" collapsed="false">
      <c r="B28" s="7" t="str">
        <f aca="false">設定!B23</f>
        <v>その他</v>
      </c>
      <c r="C28" s="21" t="n">
        <f aca="false">SUMIFS(在庫管理!$L$11:$L$110,在庫管理!$I$11:$I$110,"在庫中",在庫管理!$C$11:$C$110,$B28)</f>
        <v>0</v>
      </c>
      <c r="D28" s="22" t="n">
        <f aca="false">IFERROR($C28/$C$7,"")</f>
        <v>0</v>
      </c>
      <c r="E28" s="35" t="n">
        <f aca="false">IFERROR($D28^2*10000,0)</f>
        <v>0</v>
      </c>
      <c r="G28" s="37" t="s">
        <v>177</v>
      </c>
      <c r="H28" s="38" t="str">
        <f aca="false">IF(J27&gt;=2500,"集中リスク高",IF(J27&gt;=1500,"中程度","分散（健全）"))</f>
        <v>集中リスク高</v>
      </c>
      <c r="I28" s="38"/>
      <c r="J28" s="38"/>
    </row>
    <row r="29" customFormat="false" ht="15" hidden="false" customHeight="false" outlineLevel="0" collapsed="false">
      <c r="B29" s="26" t="s">
        <v>176</v>
      </c>
      <c r="C29" s="28" t="n">
        <f aca="false">SUM(C23:C28)</f>
        <v>111500</v>
      </c>
      <c r="D29" s="27" t="n">
        <f aca="false">SUM(D23:D28)</f>
        <v>1</v>
      </c>
      <c r="E29" s="36" t="n">
        <f aca="false">SUM(E23:E28)</f>
        <v>3502.38291540148</v>
      </c>
    </row>
    <row r="30" customFormat="false" ht="15" hidden="false" customHeight="false" outlineLevel="0" collapsed="false">
      <c r="B30" s="37" t="s">
        <v>177</v>
      </c>
      <c r="C30" s="38" t="str">
        <f aca="false">IF(E29&gt;=2500,"集中リスク高",IF(E29&gt;=1500,"中程度","分散（健全）"))</f>
        <v>集中リスク高</v>
      </c>
      <c r="D30" s="38"/>
      <c r="E30" s="38"/>
    </row>
    <row r="32" customFormat="false" ht="15" hidden="false" customHeight="false" outlineLevel="0" collapsed="false">
      <c r="B32" s="10" t="s">
        <v>140</v>
      </c>
      <c r="C32" s="10" t="s">
        <v>173</v>
      </c>
      <c r="D32" s="10" t="s">
        <v>174</v>
      </c>
      <c r="E32" s="17" t="s">
        <v>175</v>
      </c>
      <c r="G32" s="10" t="s">
        <v>141</v>
      </c>
      <c r="H32" s="10" t="s">
        <v>173</v>
      </c>
      <c r="I32" s="10" t="s">
        <v>174</v>
      </c>
      <c r="J32" s="17" t="s">
        <v>175</v>
      </c>
    </row>
    <row r="33" customFormat="false" ht="15" hidden="false" customHeight="false" outlineLevel="0" collapsed="false">
      <c r="B33" s="7" t="str">
        <f aca="false">設定!B41</f>
        <v>サンプルキャラA</v>
      </c>
      <c r="C33" s="21" t="n">
        <f aca="false">IF($B33="","",SUMIFS(在庫管理!$L$11:$L$110,在庫管理!$I$11:$I$110,"在庫中",在庫管理!$D$11:$D$110,$B33))</f>
        <v>31000</v>
      </c>
      <c r="D33" s="22" t="n">
        <f aca="false">IFERROR($C33/$C$7,"")</f>
        <v>0.278026905829596</v>
      </c>
      <c r="E33" s="35" t="n">
        <f aca="false">IFERROR($D33^2*10000,0)</f>
        <v>772.989603651793</v>
      </c>
      <c r="G33" s="7" t="str">
        <f aca="false">設定!B64</f>
        <v>サンプル絵師A</v>
      </c>
      <c r="H33" s="21" t="n">
        <f aca="false">IF($G33="","",SUMIFS(在庫管理!$L$11:$L$110,在庫管理!$I$11:$I$110,"在庫中",在庫管理!$E$11:$E$110,$G33))</f>
        <v>31000</v>
      </c>
      <c r="I33" s="22" t="n">
        <f aca="false">IFERROR($H33/$C$7,"")</f>
        <v>0.278026905829596</v>
      </c>
      <c r="J33" s="35" t="n">
        <f aca="false">IFERROR($I33^2*10000,0)</f>
        <v>772.989603651793</v>
      </c>
    </row>
    <row r="34" customFormat="false" ht="15" hidden="false" customHeight="false" outlineLevel="0" collapsed="false">
      <c r="B34" s="7" t="str">
        <f aca="false">設定!B42</f>
        <v>サンプルキャラB</v>
      </c>
      <c r="C34" s="21" t="n">
        <f aca="false">IF($B34="","",SUMIFS(在庫管理!$L$11:$L$110,在庫管理!$I$11:$I$110,"在庫中",在庫管理!$D$11:$D$110,$B34))</f>
        <v>49000</v>
      </c>
      <c r="D34" s="22" t="n">
        <f aca="false">IFERROR($C34/$C$7,"")</f>
        <v>0.439461883408072</v>
      </c>
      <c r="E34" s="35" t="n">
        <f aca="false">IFERROR($D34^2*10000,0)</f>
        <v>1931.2674696857</v>
      </c>
      <c r="G34" s="7" t="str">
        <f aca="false">設定!B65</f>
        <v>サンプル絵師B</v>
      </c>
      <c r="H34" s="21" t="n">
        <f aca="false">IF($G34="","",SUMIFS(在庫管理!$L$11:$L$110,在庫管理!$I$11:$I$110,"在庫中",在庫管理!$E$11:$E$110,$G34))</f>
        <v>0</v>
      </c>
      <c r="I34" s="22" t="n">
        <f aca="false">IFERROR($H34/$C$7,"")</f>
        <v>0</v>
      </c>
      <c r="J34" s="35" t="n">
        <f aca="false">IFERROR($I34^2*10000,0)</f>
        <v>0</v>
      </c>
    </row>
    <row r="35" customFormat="false" ht="15" hidden="false" customHeight="false" outlineLevel="0" collapsed="false">
      <c r="B35" s="7" t="str">
        <f aca="false">設定!B43</f>
        <v>サンプルキャラC</v>
      </c>
      <c r="C35" s="21" t="n">
        <f aca="false">IF($B35="","",SUMIFS(在庫管理!$L$11:$L$110,在庫管理!$I$11:$I$110,"在庫中",在庫管理!$D$11:$D$110,$B35))</f>
        <v>0</v>
      </c>
      <c r="D35" s="22" t="n">
        <f aca="false">IFERROR($C35/$C$7,"")</f>
        <v>0</v>
      </c>
      <c r="E35" s="35" t="n">
        <f aca="false">IFERROR($D35^2*10000,0)</f>
        <v>0</v>
      </c>
      <c r="G35" s="7" t="n">
        <f aca="false">設定!B66</f>
        <v>0</v>
      </c>
      <c r="H35" s="21" t="str">
        <f aca="false">IF($G35="","",SUMIFS(在庫管理!$L$11:$L$110,在庫管理!$I$11:$I$110,"在庫中",在庫管理!$E$11:$E$110,$G35))</f>
        <v/>
      </c>
      <c r="I35" s="22" t="str">
        <f aca="false">IFERROR($H35/$C$7,"")</f>
        <v/>
      </c>
      <c r="J35" s="35" t="n">
        <f aca="false">IFERROR($I35^2*10000,0)</f>
        <v>0</v>
      </c>
    </row>
    <row r="36" customFormat="false" ht="15" hidden="false" customHeight="false" outlineLevel="0" collapsed="false">
      <c r="B36" s="7" t="n">
        <f aca="false">設定!B44</f>
        <v>0</v>
      </c>
      <c r="C36" s="21" t="str">
        <f aca="false">IF($B36="","",SUMIFS(在庫管理!$L$11:$L$110,在庫管理!$I$11:$I$110,"在庫中",在庫管理!$D$11:$D$110,$B36))</f>
        <v/>
      </c>
      <c r="D36" s="22" t="str">
        <f aca="false">IFERROR($C36/$C$7,"")</f>
        <v/>
      </c>
      <c r="E36" s="35" t="n">
        <f aca="false">IFERROR($D36^2*10000,0)</f>
        <v>0</v>
      </c>
      <c r="G36" s="7" t="n">
        <f aca="false">設定!B67</f>
        <v>0</v>
      </c>
      <c r="H36" s="21" t="str">
        <f aca="false">IF($G36="","",SUMIFS(在庫管理!$L$11:$L$110,在庫管理!$I$11:$I$110,"在庫中",在庫管理!$E$11:$E$110,$G36))</f>
        <v/>
      </c>
      <c r="I36" s="22" t="str">
        <f aca="false">IFERROR($H36/$C$7,"")</f>
        <v/>
      </c>
      <c r="J36" s="35" t="n">
        <f aca="false">IFERROR($I36^2*10000,0)</f>
        <v>0</v>
      </c>
    </row>
    <row r="37" customFormat="false" ht="15" hidden="false" customHeight="false" outlineLevel="0" collapsed="false">
      <c r="B37" s="7" t="n">
        <f aca="false">設定!B45</f>
        <v>0</v>
      </c>
      <c r="C37" s="21" t="str">
        <f aca="false">IF($B37="","",SUMIFS(在庫管理!$L$11:$L$110,在庫管理!$I$11:$I$110,"在庫中",在庫管理!$D$11:$D$110,$B37))</f>
        <v/>
      </c>
      <c r="D37" s="22" t="str">
        <f aca="false">IFERROR($C37/$C$7,"")</f>
        <v/>
      </c>
      <c r="E37" s="35" t="n">
        <f aca="false">IFERROR($D37^2*10000,0)</f>
        <v>0</v>
      </c>
      <c r="G37" s="7" t="n">
        <f aca="false">設定!B68</f>
        <v>0</v>
      </c>
      <c r="H37" s="21" t="str">
        <f aca="false">IF($G37="","",SUMIFS(在庫管理!$L$11:$L$110,在庫管理!$I$11:$I$110,"在庫中",在庫管理!$E$11:$E$110,$G37))</f>
        <v/>
      </c>
      <c r="I37" s="22" t="str">
        <f aca="false">IFERROR($H37/$C$7,"")</f>
        <v/>
      </c>
      <c r="J37" s="35" t="n">
        <f aca="false">IFERROR($I37^2*10000,0)</f>
        <v>0</v>
      </c>
    </row>
    <row r="38" customFormat="false" ht="15" hidden="false" customHeight="false" outlineLevel="0" collapsed="false">
      <c r="B38" s="7" t="n">
        <f aca="false">設定!B46</f>
        <v>0</v>
      </c>
      <c r="C38" s="21" t="str">
        <f aca="false">IF($B38="","",SUMIFS(在庫管理!$L$11:$L$110,在庫管理!$I$11:$I$110,"在庫中",在庫管理!$D$11:$D$110,$B38))</f>
        <v/>
      </c>
      <c r="D38" s="22" t="str">
        <f aca="false">IFERROR($C38/$C$7,"")</f>
        <v/>
      </c>
      <c r="E38" s="35" t="n">
        <f aca="false">IFERROR($D38^2*10000,0)</f>
        <v>0</v>
      </c>
      <c r="G38" s="7" t="n">
        <f aca="false">設定!B69</f>
        <v>0</v>
      </c>
      <c r="H38" s="21" t="str">
        <f aca="false">IF($G38="","",SUMIFS(在庫管理!$L$11:$L$110,在庫管理!$I$11:$I$110,"在庫中",在庫管理!$E$11:$E$110,$G38))</f>
        <v/>
      </c>
      <c r="I38" s="22" t="str">
        <f aca="false">IFERROR($H38/$C$7,"")</f>
        <v/>
      </c>
      <c r="J38" s="35" t="n">
        <f aca="false">IFERROR($I38^2*10000,0)</f>
        <v>0</v>
      </c>
    </row>
    <row r="39" customFormat="false" ht="15" hidden="false" customHeight="false" outlineLevel="0" collapsed="false">
      <c r="B39" s="7" t="n">
        <f aca="false">設定!B47</f>
        <v>0</v>
      </c>
      <c r="C39" s="21" t="str">
        <f aca="false">IF($B39="","",SUMIFS(在庫管理!$L$11:$L$110,在庫管理!$I$11:$I$110,"在庫中",在庫管理!$D$11:$D$110,$B39))</f>
        <v/>
      </c>
      <c r="D39" s="22" t="str">
        <f aca="false">IFERROR($C39/$C$7,"")</f>
        <v/>
      </c>
      <c r="E39" s="35" t="n">
        <f aca="false">IFERROR($D39^2*10000,0)</f>
        <v>0</v>
      </c>
      <c r="G39" s="7" t="n">
        <f aca="false">設定!B70</f>
        <v>0</v>
      </c>
      <c r="H39" s="21" t="str">
        <f aca="false">IF($G39="","",SUMIFS(在庫管理!$L$11:$L$110,在庫管理!$I$11:$I$110,"在庫中",在庫管理!$E$11:$E$110,$G39))</f>
        <v/>
      </c>
      <c r="I39" s="22" t="str">
        <f aca="false">IFERROR($H39/$C$7,"")</f>
        <v/>
      </c>
      <c r="J39" s="35" t="n">
        <f aca="false">IFERROR($I39^2*10000,0)</f>
        <v>0</v>
      </c>
    </row>
    <row r="40" customFormat="false" ht="15" hidden="false" customHeight="false" outlineLevel="0" collapsed="false">
      <c r="B40" s="7" t="n">
        <f aca="false">設定!B48</f>
        <v>0</v>
      </c>
      <c r="C40" s="21" t="str">
        <f aca="false">IF($B40="","",SUMIFS(在庫管理!$L$11:$L$110,在庫管理!$I$11:$I$110,"在庫中",在庫管理!$D$11:$D$110,$B40))</f>
        <v/>
      </c>
      <c r="D40" s="22" t="str">
        <f aca="false">IFERROR($C40/$C$7,"")</f>
        <v/>
      </c>
      <c r="E40" s="35" t="n">
        <f aca="false">IFERROR($D40^2*10000,0)</f>
        <v>0</v>
      </c>
      <c r="G40" s="7" t="n">
        <f aca="false">設定!B71</f>
        <v>0</v>
      </c>
      <c r="H40" s="21" t="str">
        <f aca="false">IF($G40="","",SUMIFS(在庫管理!$L$11:$L$110,在庫管理!$I$11:$I$110,"在庫中",在庫管理!$E$11:$E$110,$G40))</f>
        <v/>
      </c>
      <c r="I40" s="22" t="str">
        <f aca="false">IFERROR($H40/$C$7,"")</f>
        <v/>
      </c>
      <c r="J40" s="35" t="n">
        <f aca="false">IFERROR($I40^2*10000,0)</f>
        <v>0</v>
      </c>
    </row>
    <row r="41" customFormat="false" ht="15" hidden="false" customHeight="false" outlineLevel="0" collapsed="false">
      <c r="B41" s="7" t="n">
        <f aca="false">設定!B49</f>
        <v>0</v>
      </c>
      <c r="C41" s="21" t="str">
        <f aca="false">IF($B41="","",SUMIFS(在庫管理!$L$11:$L$110,在庫管理!$I$11:$I$110,"在庫中",在庫管理!$D$11:$D$110,$B41))</f>
        <v/>
      </c>
      <c r="D41" s="22" t="str">
        <f aca="false">IFERROR($C41/$C$7,"")</f>
        <v/>
      </c>
      <c r="E41" s="35" t="n">
        <f aca="false">IFERROR($D41^2*10000,0)</f>
        <v>0</v>
      </c>
      <c r="G41" s="7" t="n">
        <f aca="false">設定!B72</f>
        <v>0</v>
      </c>
      <c r="H41" s="21" t="str">
        <f aca="false">IF($G41="","",SUMIFS(在庫管理!$L$11:$L$110,在庫管理!$I$11:$I$110,"在庫中",在庫管理!$E$11:$E$110,$G41))</f>
        <v/>
      </c>
      <c r="I41" s="22" t="str">
        <f aca="false">IFERROR($H41/$C$7,"")</f>
        <v/>
      </c>
      <c r="J41" s="35" t="n">
        <f aca="false">IFERROR($I41^2*10000,0)</f>
        <v>0</v>
      </c>
    </row>
    <row r="42" customFormat="false" ht="15" hidden="false" customHeight="false" outlineLevel="0" collapsed="false">
      <c r="B42" s="7" t="n">
        <f aca="false">設定!B50</f>
        <v>0</v>
      </c>
      <c r="C42" s="21" t="str">
        <f aca="false">IF($B42="","",SUMIFS(在庫管理!$L$11:$L$110,在庫管理!$I$11:$I$110,"在庫中",在庫管理!$D$11:$D$110,$B42))</f>
        <v/>
      </c>
      <c r="D42" s="22" t="str">
        <f aca="false">IFERROR($C42/$C$7,"")</f>
        <v/>
      </c>
      <c r="E42" s="35" t="n">
        <f aca="false">IFERROR($D42^2*10000,0)</f>
        <v>0</v>
      </c>
      <c r="G42" s="7" t="n">
        <f aca="false">設定!B73</f>
        <v>0</v>
      </c>
      <c r="H42" s="21" t="str">
        <f aca="false">IF($G42="","",SUMIFS(在庫管理!$L$11:$L$110,在庫管理!$I$11:$I$110,"在庫中",在庫管理!$E$11:$E$110,$G42))</f>
        <v/>
      </c>
      <c r="I42" s="22" t="str">
        <f aca="false">IFERROR($H42/$C$7,"")</f>
        <v/>
      </c>
      <c r="J42" s="35" t="n">
        <f aca="false">IFERROR($I42^2*10000,0)</f>
        <v>0</v>
      </c>
    </row>
    <row r="43" customFormat="false" ht="15" hidden="false" customHeight="false" outlineLevel="0" collapsed="false">
      <c r="B43" s="7" t="n">
        <f aca="false">設定!B51</f>
        <v>0</v>
      </c>
      <c r="C43" s="21" t="str">
        <f aca="false">IF($B43="","",SUMIFS(在庫管理!$L$11:$L$110,在庫管理!$I$11:$I$110,"在庫中",在庫管理!$D$11:$D$110,$B43))</f>
        <v/>
      </c>
      <c r="D43" s="22" t="str">
        <f aca="false">IFERROR($C43/$C$7,"")</f>
        <v/>
      </c>
      <c r="E43" s="35" t="n">
        <f aca="false">IFERROR($D43^2*10000,0)</f>
        <v>0</v>
      </c>
      <c r="G43" s="7" t="n">
        <f aca="false">設定!B74</f>
        <v>0</v>
      </c>
      <c r="H43" s="21" t="str">
        <f aca="false">IF($G43="","",SUMIFS(在庫管理!$L$11:$L$110,在庫管理!$I$11:$I$110,"在庫中",在庫管理!$E$11:$E$110,$G43))</f>
        <v/>
      </c>
      <c r="I43" s="22" t="str">
        <f aca="false">IFERROR($H43/$C$7,"")</f>
        <v/>
      </c>
      <c r="J43" s="35" t="n">
        <f aca="false">IFERROR($I43^2*10000,0)</f>
        <v>0</v>
      </c>
    </row>
    <row r="44" customFormat="false" ht="15" hidden="false" customHeight="false" outlineLevel="0" collapsed="false">
      <c r="B44" s="7" t="n">
        <f aca="false">設定!B52</f>
        <v>0</v>
      </c>
      <c r="C44" s="21" t="str">
        <f aca="false">IF($B44="","",SUMIFS(在庫管理!$L$11:$L$110,在庫管理!$I$11:$I$110,"在庫中",在庫管理!$D$11:$D$110,$B44))</f>
        <v/>
      </c>
      <c r="D44" s="22" t="str">
        <f aca="false">IFERROR($C44/$C$7,"")</f>
        <v/>
      </c>
      <c r="E44" s="35" t="n">
        <f aca="false">IFERROR($D44^2*10000,0)</f>
        <v>0</v>
      </c>
      <c r="G44" s="7" t="n">
        <f aca="false">設定!B75</f>
        <v>0</v>
      </c>
      <c r="H44" s="21" t="str">
        <f aca="false">IF($G44="","",SUMIFS(在庫管理!$L$11:$L$110,在庫管理!$I$11:$I$110,"在庫中",在庫管理!$E$11:$E$110,$G44))</f>
        <v/>
      </c>
      <c r="I44" s="22" t="str">
        <f aca="false">IFERROR($H44/$C$7,"")</f>
        <v/>
      </c>
      <c r="J44" s="35" t="n">
        <f aca="false">IFERROR($I44^2*10000,0)</f>
        <v>0</v>
      </c>
    </row>
    <row r="45" customFormat="false" ht="15" hidden="false" customHeight="false" outlineLevel="0" collapsed="false">
      <c r="B45" s="7" t="n">
        <f aca="false">設定!B53</f>
        <v>0</v>
      </c>
      <c r="C45" s="21" t="str">
        <f aca="false">IF($B45="","",SUMIFS(在庫管理!$L$11:$L$110,在庫管理!$I$11:$I$110,"在庫中",在庫管理!$D$11:$D$110,$B45))</f>
        <v/>
      </c>
      <c r="D45" s="22" t="str">
        <f aca="false">IFERROR($C45/$C$7,"")</f>
        <v/>
      </c>
      <c r="E45" s="35" t="n">
        <f aca="false">IFERROR($D45^2*10000,0)</f>
        <v>0</v>
      </c>
      <c r="G45" s="7" t="n">
        <f aca="false">設定!B76</f>
        <v>0</v>
      </c>
      <c r="H45" s="21" t="str">
        <f aca="false">IF($G45="","",SUMIFS(在庫管理!$L$11:$L$110,在庫管理!$I$11:$I$110,"在庫中",在庫管理!$E$11:$E$110,$G45))</f>
        <v/>
      </c>
      <c r="I45" s="22" t="str">
        <f aca="false">IFERROR($H45/$C$7,"")</f>
        <v/>
      </c>
      <c r="J45" s="35" t="n">
        <f aca="false">IFERROR($I45^2*10000,0)</f>
        <v>0</v>
      </c>
    </row>
    <row r="46" customFormat="false" ht="15" hidden="false" customHeight="false" outlineLevel="0" collapsed="false">
      <c r="B46" s="7" t="n">
        <f aca="false">設定!B54</f>
        <v>0</v>
      </c>
      <c r="C46" s="21" t="str">
        <f aca="false">IF($B46="","",SUMIFS(在庫管理!$L$11:$L$110,在庫管理!$I$11:$I$110,"在庫中",在庫管理!$D$11:$D$110,$B46))</f>
        <v/>
      </c>
      <c r="D46" s="22" t="str">
        <f aca="false">IFERROR($C46/$C$7,"")</f>
        <v/>
      </c>
      <c r="E46" s="35" t="n">
        <f aca="false">IFERROR($D46^2*10000,0)</f>
        <v>0</v>
      </c>
      <c r="G46" s="7" t="n">
        <f aca="false">設定!B77</f>
        <v>0</v>
      </c>
      <c r="H46" s="21" t="str">
        <f aca="false">IF($G46="","",SUMIFS(在庫管理!$L$11:$L$110,在庫管理!$I$11:$I$110,"在庫中",在庫管理!$E$11:$E$110,$G46))</f>
        <v/>
      </c>
      <c r="I46" s="22" t="str">
        <f aca="false">IFERROR($H46/$C$7,"")</f>
        <v/>
      </c>
      <c r="J46" s="35" t="n">
        <f aca="false">IFERROR($I46^2*10000,0)</f>
        <v>0</v>
      </c>
    </row>
    <row r="47" customFormat="false" ht="15" hidden="false" customHeight="false" outlineLevel="0" collapsed="false">
      <c r="B47" s="7" t="n">
        <f aca="false">設定!B55</f>
        <v>0</v>
      </c>
      <c r="C47" s="21" t="str">
        <f aca="false">IF($B47="","",SUMIFS(在庫管理!$L$11:$L$110,在庫管理!$I$11:$I$110,"在庫中",在庫管理!$D$11:$D$110,$B47))</f>
        <v/>
      </c>
      <c r="D47" s="22" t="str">
        <f aca="false">IFERROR($C47/$C$7,"")</f>
        <v/>
      </c>
      <c r="E47" s="35" t="n">
        <f aca="false">IFERROR($D47^2*10000,0)</f>
        <v>0</v>
      </c>
      <c r="G47" s="7" t="n">
        <f aca="false">設定!B78</f>
        <v>0</v>
      </c>
      <c r="H47" s="21" t="str">
        <f aca="false">IF($G47="","",SUMIFS(在庫管理!$L$11:$L$110,在庫管理!$I$11:$I$110,"在庫中",在庫管理!$E$11:$E$110,$G47))</f>
        <v/>
      </c>
      <c r="I47" s="22" t="str">
        <f aca="false">IFERROR($H47/$C$7,"")</f>
        <v/>
      </c>
      <c r="J47" s="35" t="n">
        <f aca="false">IFERROR($I47^2*10000,0)</f>
        <v>0</v>
      </c>
    </row>
    <row r="48" customFormat="false" ht="15" hidden="false" customHeight="false" outlineLevel="0" collapsed="false">
      <c r="B48" s="7" t="n">
        <f aca="false">設定!B56</f>
        <v>0</v>
      </c>
      <c r="C48" s="21" t="str">
        <f aca="false">IF($B48="","",SUMIFS(在庫管理!$L$11:$L$110,在庫管理!$I$11:$I$110,"在庫中",在庫管理!$D$11:$D$110,$B48))</f>
        <v/>
      </c>
      <c r="D48" s="22" t="str">
        <f aca="false">IFERROR($C48/$C$7,"")</f>
        <v/>
      </c>
      <c r="E48" s="35" t="n">
        <f aca="false">IFERROR($D48^2*10000,0)</f>
        <v>0</v>
      </c>
      <c r="G48" s="7" t="n">
        <f aca="false">設定!B79</f>
        <v>0</v>
      </c>
      <c r="H48" s="21" t="str">
        <f aca="false">IF($G48="","",SUMIFS(在庫管理!$L$11:$L$110,在庫管理!$I$11:$I$110,"在庫中",在庫管理!$E$11:$E$110,$G48))</f>
        <v/>
      </c>
      <c r="I48" s="22" t="str">
        <f aca="false">IFERROR($H48/$C$7,"")</f>
        <v/>
      </c>
      <c r="J48" s="35" t="n">
        <f aca="false">IFERROR($I48^2*10000,0)</f>
        <v>0</v>
      </c>
    </row>
    <row r="49" customFormat="false" ht="15" hidden="false" customHeight="false" outlineLevel="0" collapsed="false">
      <c r="B49" s="7" t="n">
        <f aca="false">設定!B57</f>
        <v>0</v>
      </c>
      <c r="C49" s="21" t="str">
        <f aca="false">IF($B49="","",SUMIFS(在庫管理!$L$11:$L$110,在庫管理!$I$11:$I$110,"在庫中",在庫管理!$D$11:$D$110,$B49))</f>
        <v/>
      </c>
      <c r="D49" s="22" t="str">
        <f aca="false">IFERROR($C49/$C$7,"")</f>
        <v/>
      </c>
      <c r="E49" s="35" t="n">
        <f aca="false">IFERROR($D49^2*10000,0)</f>
        <v>0</v>
      </c>
      <c r="G49" s="7" t="n">
        <f aca="false">設定!B80</f>
        <v>0</v>
      </c>
      <c r="H49" s="21" t="str">
        <f aca="false">IF($G49="","",SUMIFS(在庫管理!$L$11:$L$110,在庫管理!$I$11:$I$110,"在庫中",在庫管理!$E$11:$E$110,$G49))</f>
        <v/>
      </c>
      <c r="I49" s="22" t="str">
        <f aca="false">IFERROR($H49/$C$7,"")</f>
        <v/>
      </c>
      <c r="J49" s="35" t="n">
        <f aca="false">IFERROR($I49^2*10000,0)</f>
        <v>0</v>
      </c>
    </row>
    <row r="50" customFormat="false" ht="15" hidden="false" customHeight="false" outlineLevel="0" collapsed="false">
      <c r="B50" s="7" t="n">
        <f aca="false">設定!B58</f>
        <v>0</v>
      </c>
      <c r="C50" s="21" t="str">
        <f aca="false">IF($B50="","",SUMIFS(在庫管理!$L$11:$L$110,在庫管理!$I$11:$I$110,"在庫中",在庫管理!$D$11:$D$110,$B50))</f>
        <v/>
      </c>
      <c r="D50" s="22" t="str">
        <f aca="false">IFERROR($C50/$C$7,"")</f>
        <v/>
      </c>
      <c r="E50" s="35" t="n">
        <f aca="false">IFERROR($D50^2*10000,0)</f>
        <v>0</v>
      </c>
      <c r="G50" s="7" t="n">
        <f aca="false">設定!B81</f>
        <v>0</v>
      </c>
      <c r="H50" s="21" t="str">
        <f aca="false">IF($G50="","",SUMIFS(在庫管理!$L$11:$L$110,在庫管理!$I$11:$I$110,"在庫中",在庫管理!$E$11:$E$110,$G50))</f>
        <v/>
      </c>
      <c r="I50" s="22" t="str">
        <f aca="false">IFERROR($H50/$C$7,"")</f>
        <v/>
      </c>
      <c r="J50" s="35" t="n">
        <f aca="false">IFERROR($I50^2*10000,0)</f>
        <v>0</v>
      </c>
    </row>
    <row r="51" customFormat="false" ht="15" hidden="false" customHeight="false" outlineLevel="0" collapsed="false">
      <c r="B51" s="7" t="n">
        <f aca="false">設定!B59</f>
        <v>0</v>
      </c>
      <c r="C51" s="21" t="str">
        <f aca="false">IF($B51="","",SUMIFS(在庫管理!$L$11:$L$110,在庫管理!$I$11:$I$110,"在庫中",在庫管理!$D$11:$D$110,$B51))</f>
        <v/>
      </c>
      <c r="D51" s="22" t="str">
        <f aca="false">IFERROR($C51/$C$7,"")</f>
        <v/>
      </c>
      <c r="E51" s="35" t="n">
        <f aca="false">IFERROR($D51^2*10000,0)</f>
        <v>0</v>
      </c>
      <c r="G51" s="7" t="n">
        <f aca="false">設定!B82</f>
        <v>0</v>
      </c>
      <c r="H51" s="21" t="str">
        <f aca="false">IF($G51="","",SUMIFS(在庫管理!$L$11:$L$110,在庫管理!$I$11:$I$110,"在庫中",在庫管理!$E$11:$E$110,$G51))</f>
        <v/>
      </c>
      <c r="I51" s="22" t="str">
        <f aca="false">IFERROR($H51/$C$7,"")</f>
        <v/>
      </c>
      <c r="J51" s="35" t="n">
        <f aca="false">IFERROR($I51^2*10000,0)</f>
        <v>0</v>
      </c>
    </row>
    <row r="52" customFormat="false" ht="15" hidden="false" customHeight="false" outlineLevel="0" collapsed="false">
      <c r="B52" s="7" t="n">
        <f aca="false">設定!B60</f>
        <v>0</v>
      </c>
      <c r="C52" s="21" t="str">
        <f aca="false">IF($B52="","",SUMIFS(在庫管理!$L$11:$L$110,在庫管理!$I$11:$I$110,"在庫中",在庫管理!$D$11:$D$110,$B52))</f>
        <v/>
      </c>
      <c r="D52" s="22" t="str">
        <f aca="false">IFERROR($C52/$C$7,"")</f>
        <v/>
      </c>
      <c r="E52" s="35" t="n">
        <f aca="false">IFERROR($D52^2*10000,0)</f>
        <v>0</v>
      </c>
      <c r="G52" s="7" t="n">
        <f aca="false">設定!B83</f>
        <v>0</v>
      </c>
      <c r="H52" s="21" t="str">
        <f aca="false">IF($G52="","",SUMIFS(在庫管理!$L$11:$L$110,在庫管理!$I$11:$I$110,"在庫中",在庫管理!$E$11:$E$110,$G52))</f>
        <v/>
      </c>
      <c r="I52" s="22" t="str">
        <f aca="false">IFERROR($H52/$C$7,"")</f>
        <v/>
      </c>
      <c r="J52" s="35" t="n">
        <f aca="false">IFERROR($I52^2*10000,0)</f>
        <v>0</v>
      </c>
    </row>
    <row r="53" customFormat="false" ht="15" hidden="false" customHeight="false" outlineLevel="0" collapsed="false">
      <c r="B53" s="39" t="s">
        <v>178</v>
      </c>
      <c r="C53" s="40" t="n">
        <f aca="false">MAX(0,SUMIFS(在庫管理!$L$11:$L$110,在庫管理!$I$11:$I$110,"在庫中")-SUM(C33:C52))</f>
        <v>31500</v>
      </c>
      <c r="D53" s="41" t="n">
        <f aca="false">IFERROR($C53/$C$7,"")</f>
        <v>0.282511210762332</v>
      </c>
      <c r="E53" s="42" t="n">
        <f aca="false">IFERROR($D53^2*10000,0)</f>
        <v>798.125842063987</v>
      </c>
      <c r="G53" s="39" t="s">
        <v>179</v>
      </c>
      <c r="H53" s="40" t="n">
        <f aca="false">MAX(0,SUMIFS(在庫管理!$L$11:$L$110,在庫管理!$I$11:$I$110,"在庫中")-SUM(H33:H52))</f>
        <v>80500</v>
      </c>
      <c r="I53" s="41" t="n">
        <f aca="false">IFERROR($H53/$C$7,"")</f>
        <v>0.721973094170404</v>
      </c>
      <c r="J53" s="42" t="n">
        <f aca="false">IFERROR($I53^2*10000,0)</f>
        <v>5212.45148705986</v>
      </c>
    </row>
    <row r="54" customFormat="false" ht="15" hidden="false" customHeight="false" outlineLevel="0" collapsed="false">
      <c r="B54" s="26" t="s">
        <v>176</v>
      </c>
      <c r="C54" s="28" t="n">
        <f aca="false">SUM(C33:C53)</f>
        <v>111500</v>
      </c>
      <c r="D54" s="27" t="n">
        <f aca="false">SUM(D33:D53)</f>
        <v>1</v>
      </c>
      <c r="E54" s="36" t="n">
        <f aca="false">SUM(E33:E53)</f>
        <v>3502.38291540148</v>
      </c>
      <c r="G54" s="26" t="s">
        <v>176</v>
      </c>
      <c r="H54" s="28" t="n">
        <f aca="false">SUM(H33:H53)</f>
        <v>111500</v>
      </c>
      <c r="I54" s="27" t="n">
        <f aca="false">SUM(I33:I53)</f>
        <v>1</v>
      </c>
      <c r="J54" s="36" t="n">
        <f aca="false">SUM(J33:J53)</f>
        <v>5985.44109071166</v>
      </c>
    </row>
    <row r="55" customFormat="false" ht="15" hidden="false" customHeight="false" outlineLevel="0" collapsed="false">
      <c r="B55" s="37" t="s">
        <v>177</v>
      </c>
      <c r="C55" s="38" t="str">
        <f aca="false">IF(E54&gt;=2500,"集中リスク高",IF(E54&gt;=1500,"中程度","分散（健全）"))</f>
        <v>集中リスク高</v>
      </c>
      <c r="D55" s="38"/>
      <c r="E55" s="38"/>
      <c r="G55" s="37" t="s">
        <v>177</v>
      </c>
      <c r="H55" s="38" t="str">
        <f aca="false">IF(J54&gt;=2500,"集中リスク高",IF(J54&gt;=1500,"中程度","分散（健全）"))</f>
        <v>集中リスク高</v>
      </c>
      <c r="I55" s="38"/>
      <c r="J55" s="38"/>
    </row>
  </sheetData>
  <mergeCells count="4">
    <mergeCell ref="H28:J28"/>
    <mergeCell ref="C30:E30"/>
    <mergeCell ref="C55:E55"/>
    <mergeCell ref="H55:J55"/>
  </mergeCells>
  <conditionalFormatting sqref="E23:E28">
    <cfRule type="colorScale" priority="2">
      <colorScale>
        <cfvo type="num" val="0"/>
        <cfvo type="num" val="2500"/>
        <cfvo type="num" val="10000"/>
        <color rgb="FFC6EFCE"/>
        <color rgb="FFFFEB9C"/>
        <color rgb="FFFFC7CE"/>
      </colorScale>
    </cfRule>
  </conditionalFormatting>
  <conditionalFormatting sqref="J23:J26">
    <cfRule type="colorScale" priority="3">
      <colorScale>
        <cfvo type="num" val="0"/>
        <cfvo type="num" val="2500"/>
        <cfvo type="num" val="10000"/>
        <color rgb="FFC6EFCE"/>
        <color rgb="FFFFEB9C"/>
        <color rgb="FFFFC7CE"/>
      </colorScale>
    </cfRule>
  </conditionalFormatting>
  <conditionalFormatting sqref="E33:E53">
    <cfRule type="colorScale" priority="4">
      <colorScale>
        <cfvo type="num" val="0"/>
        <cfvo type="num" val="2500"/>
        <cfvo type="num" val="10000"/>
        <color rgb="FFC6EFCE"/>
        <color rgb="FFFFEB9C"/>
        <color rgb="FFFFC7CE"/>
      </colorScale>
    </cfRule>
  </conditionalFormatting>
  <conditionalFormatting sqref="J33:J53">
    <cfRule type="colorScale" priority="5">
      <colorScale>
        <cfvo type="num" val="0"/>
        <cfvo type="num" val="2500"/>
        <cfvo type="num" val="10000"/>
        <color rgb="FFC6EFCE"/>
        <color rgb="FFFFEB9C"/>
        <color rgb="FFFFC7CE"/>
      </colorScale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B2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false" outlineLevel="0" max="8" min="8" style="0" width="10"/>
    <col collapsed="false" customWidth="true" hidden="false" outlineLevel="0" max="9" min="9" style="0" width="34"/>
  </cols>
  <sheetData>
    <row r="2" customFormat="false" ht="20.85" hidden="false" customHeight="false" outlineLevel="0" collapsed="false">
      <c r="B2" s="1" t="s">
        <v>180</v>
      </c>
    </row>
    <row r="3" customFormat="false" ht="15" hidden="false" customHeight="false" outlineLevel="0" collapsed="false">
      <c r="B3" s="2" t="s">
        <v>181</v>
      </c>
    </row>
    <row r="5" customFormat="false" ht="15" hidden="false" customHeight="false" outlineLevel="0" collapsed="false">
      <c r="B5" s="10" t="s">
        <v>182</v>
      </c>
      <c r="C5" s="10" t="s">
        <v>183</v>
      </c>
      <c r="D5" s="10" t="s">
        <v>184</v>
      </c>
      <c r="E5" s="10" t="s">
        <v>185</v>
      </c>
      <c r="F5" s="10" t="s">
        <v>186</v>
      </c>
      <c r="G5" s="10" t="s">
        <v>63</v>
      </c>
      <c r="H5" s="10" t="s">
        <v>187</v>
      </c>
      <c r="I5" s="10" t="s">
        <v>188</v>
      </c>
    </row>
    <row r="6" customFormat="false" ht="27.75" hidden="false" customHeight="true" outlineLevel="0" collapsed="false">
      <c r="B6" s="11" t="s">
        <v>189</v>
      </c>
      <c r="C6" s="12" t="s">
        <v>190</v>
      </c>
      <c r="D6" s="43" t="n">
        <v>46233</v>
      </c>
      <c r="E6" s="43" t="n">
        <v>46234</v>
      </c>
      <c r="F6" s="44" t="s">
        <v>191</v>
      </c>
      <c r="G6" s="45" t="s">
        <v>192</v>
      </c>
      <c r="H6" s="46" t="n">
        <v>0</v>
      </c>
      <c r="I6" s="12" t="s">
        <v>193</v>
      </c>
    </row>
    <row r="7" customFormat="false" ht="27.75" hidden="false" customHeight="true" outlineLevel="0" collapsed="false">
      <c r="B7" s="11" t="s">
        <v>189</v>
      </c>
      <c r="C7" s="12" t="s">
        <v>194</v>
      </c>
      <c r="D7" s="43" t="n">
        <v>46233</v>
      </c>
      <c r="E7" s="43" t="n">
        <v>46235</v>
      </c>
      <c r="F7" s="44" t="s">
        <v>191</v>
      </c>
      <c r="G7" s="45" t="s">
        <v>192</v>
      </c>
      <c r="H7" s="46" t="n">
        <v>0</v>
      </c>
      <c r="I7" s="12"/>
    </row>
    <row r="8" customFormat="false" ht="27.75" hidden="false" customHeight="true" outlineLevel="0" collapsed="false">
      <c r="B8" s="11" t="s">
        <v>195</v>
      </c>
      <c r="C8" s="12" t="s">
        <v>196</v>
      </c>
      <c r="D8" s="43" t="n">
        <v>46234</v>
      </c>
      <c r="E8" s="43" t="n">
        <v>46235</v>
      </c>
      <c r="F8" s="44" t="s">
        <v>191</v>
      </c>
      <c r="G8" s="45" t="s">
        <v>192</v>
      </c>
      <c r="H8" s="46" t="n">
        <v>0</v>
      </c>
      <c r="I8" s="12" t="s">
        <v>197</v>
      </c>
    </row>
    <row r="9" customFormat="false" ht="27.75" hidden="false" customHeight="true" outlineLevel="0" collapsed="false">
      <c r="B9" s="11" t="s">
        <v>195</v>
      </c>
      <c r="C9" s="12" t="s">
        <v>198</v>
      </c>
      <c r="D9" s="43" t="n">
        <v>46235</v>
      </c>
      <c r="E9" s="43" t="n">
        <v>46237</v>
      </c>
      <c r="F9" s="44" t="s">
        <v>191</v>
      </c>
      <c r="G9" s="45" t="s">
        <v>192</v>
      </c>
      <c r="H9" s="46" t="n">
        <v>0</v>
      </c>
      <c r="I9" s="12"/>
    </row>
    <row r="10" customFormat="false" ht="27.75" hidden="false" customHeight="true" outlineLevel="0" collapsed="false">
      <c r="B10" s="11" t="s">
        <v>195</v>
      </c>
      <c r="C10" s="12" t="s">
        <v>199</v>
      </c>
      <c r="D10" s="43" t="n">
        <v>46237</v>
      </c>
      <c r="E10" s="43" t="n">
        <v>46238</v>
      </c>
      <c r="F10" s="44" t="s">
        <v>191</v>
      </c>
      <c r="G10" s="45" t="s">
        <v>192</v>
      </c>
      <c r="H10" s="46" t="n">
        <v>0</v>
      </c>
      <c r="I10" s="12"/>
    </row>
    <row r="11" customFormat="false" ht="27.75" hidden="false" customHeight="true" outlineLevel="0" collapsed="false">
      <c r="B11" s="11" t="s">
        <v>200</v>
      </c>
      <c r="C11" s="12" t="s">
        <v>201</v>
      </c>
      <c r="D11" s="43" t="n">
        <v>46235</v>
      </c>
      <c r="E11" s="43" t="n">
        <v>46239</v>
      </c>
      <c r="F11" s="44" t="s">
        <v>191</v>
      </c>
      <c r="G11" s="45" t="s">
        <v>192</v>
      </c>
      <c r="H11" s="46" t="n">
        <v>0</v>
      </c>
      <c r="I11" s="12" t="s">
        <v>202</v>
      </c>
    </row>
    <row r="12" customFormat="false" ht="27.75" hidden="false" customHeight="true" outlineLevel="0" collapsed="false">
      <c r="B12" s="11" t="s">
        <v>200</v>
      </c>
      <c r="C12" s="12" t="s">
        <v>203</v>
      </c>
      <c r="D12" s="43" t="n">
        <v>46237</v>
      </c>
      <c r="E12" s="43" t="n">
        <v>46239</v>
      </c>
      <c r="F12" s="44" t="s">
        <v>191</v>
      </c>
      <c r="G12" s="45" t="s">
        <v>192</v>
      </c>
      <c r="H12" s="46" t="n">
        <v>0</v>
      </c>
      <c r="I12" s="12"/>
    </row>
    <row r="13" customFormat="false" ht="27.75" hidden="false" customHeight="true" outlineLevel="0" collapsed="false">
      <c r="B13" s="11" t="s">
        <v>200</v>
      </c>
      <c r="C13" s="12" t="s">
        <v>204</v>
      </c>
      <c r="D13" s="43" t="n">
        <v>46239</v>
      </c>
      <c r="E13" s="43" t="n">
        <v>46241</v>
      </c>
      <c r="F13" s="44" t="s">
        <v>191</v>
      </c>
      <c r="G13" s="45" t="s">
        <v>192</v>
      </c>
      <c r="H13" s="46" t="n">
        <v>0</v>
      </c>
      <c r="I13" s="12"/>
    </row>
    <row r="14" customFormat="false" ht="27.75" hidden="false" customHeight="true" outlineLevel="0" collapsed="false">
      <c r="B14" s="11" t="s">
        <v>205</v>
      </c>
      <c r="C14" s="12" t="s">
        <v>206</v>
      </c>
      <c r="D14" s="43" t="n">
        <v>46235</v>
      </c>
      <c r="E14" s="43" t="n">
        <v>46244</v>
      </c>
      <c r="F14" s="44" t="s">
        <v>191</v>
      </c>
      <c r="G14" s="45" t="s">
        <v>192</v>
      </c>
      <c r="H14" s="46" t="n">
        <v>0</v>
      </c>
      <c r="I14" s="12" t="s">
        <v>207</v>
      </c>
    </row>
    <row r="15" customFormat="false" ht="27.75" hidden="false" customHeight="true" outlineLevel="0" collapsed="false">
      <c r="B15" s="11" t="s">
        <v>205</v>
      </c>
      <c r="C15" s="12" t="s">
        <v>208</v>
      </c>
      <c r="D15" s="43" t="n">
        <v>46244</v>
      </c>
      <c r="E15" s="43" t="n">
        <v>46246</v>
      </c>
      <c r="F15" s="44" t="s">
        <v>191</v>
      </c>
      <c r="G15" s="45" t="s">
        <v>192</v>
      </c>
      <c r="H15" s="46" t="n">
        <v>0</v>
      </c>
      <c r="I15" s="12"/>
    </row>
    <row r="16" customFormat="false" ht="27.75" hidden="false" customHeight="true" outlineLevel="0" collapsed="false">
      <c r="B16" s="11" t="s">
        <v>205</v>
      </c>
      <c r="C16" s="12" t="s">
        <v>209</v>
      </c>
      <c r="D16" s="43" t="n">
        <v>46244</v>
      </c>
      <c r="E16" s="43" t="n">
        <v>46246</v>
      </c>
      <c r="F16" s="44" t="s">
        <v>191</v>
      </c>
      <c r="G16" s="45" t="s">
        <v>192</v>
      </c>
      <c r="H16" s="46" t="n">
        <v>0</v>
      </c>
      <c r="I16" s="12"/>
    </row>
    <row r="17" customFormat="false" ht="27.75" hidden="false" customHeight="true" outlineLevel="0" collapsed="false">
      <c r="B17" s="11" t="s">
        <v>210</v>
      </c>
      <c r="C17" s="12" t="s">
        <v>211</v>
      </c>
      <c r="D17" s="43" t="n">
        <v>46244</v>
      </c>
      <c r="E17" s="43" t="n">
        <v>46249</v>
      </c>
      <c r="F17" s="44" t="s">
        <v>191</v>
      </c>
      <c r="G17" s="45" t="s">
        <v>192</v>
      </c>
      <c r="H17" s="46" t="n">
        <v>0</v>
      </c>
      <c r="I17" s="12" t="s">
        <v>212</v>
      </c>
    </row>
    <row r="18" customFormat="false" ht="27.75" hidden="false" customHeight="true" outlineLevel="0" collapsed="false">
      <c r="B18" s="11" t="s">
        <v>210</v>
      </c>
      <c r="C18" s="12" t="s">
        <v>213</v>
      </c>
      <c r="D18" s="43" t="n">
        <v>46249</v>
      </c>
      <c r="E18" s="43" t="n">
        <v>46254</v>
      </c>
      <c r="F18" s="44" t="s">
        <v>191</v>
      </c>
      <c r="G18" s="45" t="s">
        <v>192</v>
      </c>
      <c r="H18" s="46" t="n">
        <v>0</v>
      </c>
      <c r="I18" s="12"/>
    </row>
    <row r="19" customFormat="false" ht="27.75" hidden="false" customHeight="true" outlineLevel="0" collapsed="false">
      <c r="B19" s="11" t="s">
        <v>214</v>
      </c>
      <c r="C19" s="12" t="s">
        <v>215</v>
      </c>
      <c r="D19" s="43" t="n">
        <v>46254</v>
      </c>
      <c r="E19" s="47" t="s">
        <v>216</v>
      </c>
      <c r="F19" s="44" t="s">
        <v>191</v>
      </c>
      <c r="G19" s="45" t="s">
        <v>192</v>
      </c>
      <c r="H19" s="46" t="n">
        <v>0</v>
      </c>
      <c r="I19" s="12" t="s">
        <v>217</v>
      </c>
    </row>
    <row r="20" customFormat="false" ht="27.75" hidden="false" customHeight="true" outlineLevel="0" collapsed="false">
      <c r="B20" s="11" t="s">
        <v>214</v>
      </c>
      <c r="C20" s="12" t="s">
        <v>218</v>
      </c>
      <c r="D20" s="43" t="n">
        <v>46265</v>
      </c>
      <c r="E20" s="47" t="s">
        <v>216</v>
      </c>
      <c r="F20" s="44" t="s">
        <v>191</v>
      </c>
      <c r="G20" s="45" t="s">
        <v>192</v>
      </c>
      <c r="H20" s="46" t="n">
        <v>0</v>
      </c>
      <c r="I20" s="12"/>
    </row>
    <row r="22" customFormat="false" ht="15" hidden="false" customHeight="false" outlineLevel="0" collapsed="false">
      <c r="B22" s="2" t="s">
        <v>219</v>
      </c>
    </row>
  </sheetData>
  <conditionalFormatting sqref="H6:H20">
    <cfRule type="dataBar" priority="2">
      <dataBar showValue="1" minLength="10" maxLength="90"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{196DA7E6-6FB1-46DA-AA55-673779A8FCD7}</x14:id>
        </ext>
      </extLst>
    </cfRule>
  </conditionalFormatting>
  <conditionalFormatting sqref="G6:G20">
    <cfRule type="cellIs" priority="3" operator="equal" aboveAverage="0" equalAverage="0" bottom="0" percent="0" rank="0" text="" dxfId="1">
      <formula>"完了"</formula>
    </cfRule>
  </conditionalFormatting>
  <dataValidations count="1">
    <dataValidation allowBlank="true" errorStyle="stop" operator="between" showDropDown="false" showErrorMessage="false" showInputMessage="false" sqref="G6:G20" type="list">
      <formula1>"未着手,進行中,完了,保留"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6DA7E6-6FB1-46DA-AA55-673779A8FCD7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8EC6"/>
              <x14:axisColor rgb="FF000000"/>
            </x14:dataBar>
          </x14:cfRule>
          <xm:sqref>H6:H20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2026-07-30T09:06:30Z</dcterms:created>
  <dc:creator>openpyxl</dc:creator>
  <dc:description/>
  <dc:language>en-US</dc:language>
  <cp:lastModifiedBy/>
  <dcterms:modified xsi:type="dcterms:W3CDTF">2026-07-30T09:06:32Z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