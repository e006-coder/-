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設定" sheetId="2" state="visible" r:id="rId4"/>
    <sheet name="ウォッチリスト" sheetId="3" state="visible" r:id="rId5"/>
    <sheet name="仕入れ計画" sheetId="4" state="visible" r:id="rId6"/>
    <sheet name="在庫管理" sheetId="5" state="visible" r:id="rId7"/>
    <sheet name="ダッシュボード" sheetId="6" state="visible" r:id="rId8"/>
  </sheets>
  <definedNames>
    <definedName function="false" hidden="false" localSheetId="2" name="_xlnm.Print_Titles" vbProcedure="false">ウォッチリスト!$12:$12</definedName>
    <definedName function="false" hidden="false" localSheetId="4" name="_xlnm.Print_Titles" vbProcedure="false">在庫管理!$10:$10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<sst xmlns="http://schemas.openxmlformats.org/spreadsheetml/2006/main" count="381" uniqueCount="223">
  <si>
    <t xml:space="preserve">トレカ在庫ポートフォリオ管理ブック</t>
  </si>
  <si>
    <r>
      <rPr>
        <i val="true"/>
        <sz val="9"/>
        <color rgb="FF666666"/>
        <rFont val="WenQuanYi Zen Hei"/>
        <family val="2"/>
      </rPr>
      <t xml:space="preserve">スニダン等で扱うトレーディングカード（ポケモンカード／ワンピースカード／遊戯王 等）の在庫を</t>
    </r>
    <r>
      <rPr>
        <i val="true"/>
        <sz val="9"/>
        <color rgb="FF666666"/>
        <rFont val="Yu Gothic"/>
        <family val="0"/>
        <charset val="1"/>
      </rPr>
      <t xml:space="preserve">4</t>
    </r>
    <r>
      <rPr>
        <i val="true"/>
        <sz val="9"/>
        <color rgb="FF666666"/>
        <rFont val="WenQuanYi Zen Hei"/>
        <family val="2"/>
      </rPr>
      <t xml:space="preserve">象限で管理するための運用テンプレートです。</t>
    </r>
  </si>
  <si>
    <t xml:space="preserve">■ シート構成</t>
  </si>
  <si>
    <r>
      <rPr>
        <sz val="10"/>
        <color rgb="FF000000"/>
        <rFont val="WenQuanYi Zen Hei"/>
        <family val="2"/>
      </rPr>
      <t xml:space="preserve">　設定：</t>
    </r>
    <r>
      <rPr>
        <sz val="10"/>
        <color rgb="FF000000"/>
        <rFont val="Yu Gothic"/>
        <family val="0"/>
        <charset val="1"/>
      </rPr>
      <t xml:space="preserve">4</t>
    </r>
    <r>
      <rPr>
        <sz val="10"/>
        <color rgb="FF000000"/>
        <rFont val="WenQuanYi Zen Hei"/>
        <family val="2"/>
      </rPr>
      <t xml:space="preserve">象限のしきい値、銘柄タイトル／希少性／トレンド／ボラティリティ／ステータスのマスタ、集中リスク集計用のキャラ・イラストレーターリストを管理します。まずこのシートを事業実態に合わせて調整してください。</t>
    </r>
  </si>
  <si>
    <r>
      <rPr>
        <sz val="10"/>
        <color rgb="FF000000"/>
        <rFont val="WenQuanYi Zen Hei"/>
        <family val="2"/>
      </rPr>
      <t xml:space="preserve">　ウォッチリスト：スニダン等で気になっている未仕入れのカードを登録すると、想定売却日数と想定粗利率から自動で</t>
    </r>
    <r>
      <rPr>
        <sz val="10"/>
        <color rgb="FF000000"/>
        <rFont val="Yu Gothic"/>
        <family val="0"/>
        <charset val="1"/>
      </rPr>
      <t xml:space="preserve">4</t>
    </r>
    <r>
      <rPr>
        <sz val="10"/>
        <color rgb="FF000000"/>
        <rFont val="WenQuanYi Zen Hei"/>
        <family val="2"/>
      </rPr>
      <t xml:space="preserve">象限に振り分けます。</t>
    </r>
  </si>
  <si>
    <t xml:space="preserve">　仕入れ計画：象限ごとに「何を・いくらまで・どの希少性／トレンド／ボラティリティなら仕入れてよいか」のルールと月間予算配分を定義します。</t>
  </si>
  <si>
    <r>
      <rPr>
        <sz val="10"/>
        <color rgb="FF000000"/>
        <rFont val="WenQuanYi Zen Hei"/>
        <family val="2"/>
      </rPr>
      <t xml:space="preserve">　在庫管理：実在庫を</t>
    </r>
    <r>
      <rPr>
        <sz val="10"/>
        <color rgb="FF000000"/>
        <rFont val="Yu Gothic"/>
        <family val="0"/>
        <charset val="1"/>
      </rPr>
      <t xml:space="preserve">4</t>
    </r>
    <r>
      <rPr>
        <sz val="10"/>
        <color rgb="FF000000"/>
        <rFont val="WenQuanYi Zen Hei"/>
        <family val="2"/>
      </rPr>
      <t xml:space="preserve">分類＋タグ（キャラ／イラストレーター／絶版／周年／希少性／トレンド／ボラティリティ）で登録し、ポートフォリオ比率を自動計算します。</t>
    </r>
  </si>
  <si>
    <t xml:space="preserve">　ダッシュボード：資金効率（在庫の入れ替わり回数・資金倍率・含み損益率）と換金のしやすさ、偏りリスクを自動集計します。</t>
  </si>
  <si>
    <r>
      <rPr>
        <b val="true"/>
        <sz val="11"/>
        <color rgb="FF1F4E78"/>
        <rFont val="Yu Gothic"/>
        <family val="0"/>
        <charset val="1"/>
      </rPr>
      <t xml:space="preserve">■ 2</t>
    </r>
    <r>
      <rPr>
        <b val="true"/>
        <sz val="11"/>
        <color rgb="FF1F4E78"/>
        <rFont val="WenQuanYi Zen Hei"/>
        <family val="2"/>
      </rPr>
      <t xml:space="preserve">段階の判断の仕組み</t>
    </r>
  </si>
  <si>
    <r>
      <rPr>
        <sz val="10"/>
        <color rgb="FF000000"/>
        <rFont val="WenQuanYi Zen Hei"/>
        <family val="2"/>
      </rPr>
      <t xml:space="preserve">　① 自動判定（象限）：「想定売却日数」と「想定粗利率」の</t>
    </r>
    <r>
      <rPr>
        <sz val="10"/>
        <color rgb="FF000000"/>
        <rFont val="Yu Gothic"/>
        <family val="0"/>
        <charset val="1"/>
      </rPr>
      <t xml:space="preserve">2</t>
    </r>
    <r>
      <rPr>
        <sz val="10"/>
        <color rgb="FF000000"/>
        <rFont val="WenQuanYi Zen Hei"/>
        <family val="2"/>
      </rPr>
      <t xml:space="preserve">つの数値から、コア／回転／厳選／見送りの</t>
    </r>
    <r>
      <rPr>
        <sz val="10"/>
        <color rgb="FF000000"/>
        <rFont val="Yu Gothic"/>
        <family val="0"/>
        <charset val="1"/>
      </rPr>
      <t xml:space="preserve">4</t>
    </r>
    <r>
      <rPr>
        <sz val="10"/>
        <color rgb="FF000000"/>
        <rFont val="WenQuanYi Zen Hei"/>
        <family val="2"/>
      </rPr>
      <t xml:space="preserve">象限を自動で判定します（「設定」シートのしきい値で調整可能）。</t>
    </r>
  </si>
  <si>
    <t xml:space="preserve">　② 仕入れ可否の判断（属性）：象限が決まったら、そのカードの「希少性」「トレンド（値動きの勢い）」「ボラティリティ（値動きの荒さ）」が、その象限で仕入れてよい条件に当てはまるかを「仕入れ計画」シートと照らし合わせて判断します。</t>
  </si>
  <si>
    <t xml:space="preserve">■ 入力ルール（色分け）</t>
  </si>
  <si>
    <t xml:space="preserve">　青字：手入力セル。実データに置き換えてください。</t>
  </si>
  <si>
    <t xml:space="preserve">　黄色背景：しきい値・予算など、事業判断が必要な重要な前提値。</t>
  </si>
  <si>
    <t xml:space="preserve">　黒字：自動計算セル。数式が入っているため直接編集しないでください。</t>
  </si>
  <si>
    <t xml:space="preserve">　緑字：他シートを参照しているセル。</t>
  </si>
  <si>
    <t xml:space="preserve">■ 使い始め方</t>
  </si>
  <si>
    <r>
      <rPr>
        <sz val="10"/>
        <color rgb="FF000000"/>
        <rFont val="WenQuanYi Zen Hei"/>
        <family val="2"/>
      </rPr>
      <t xml:space="preserve">　</t>
    </r>
    <r>
      <rPr>
        <sz val="10"/>
        <color rgb="FF000000"/>
        <rFont val="Yu Gothic"/>
        <family val="0"/>
        <charset val="1"/>
      </rPr>
      <t xml:space="preserve">Step1</t>
    </r>
    <r>
      <rPr>
        <sz val="10"/>
        <color rgb="FF000000"/>
        <rFont val="WenQuanYi Zen Hei"/>
        <family val="2"/>
      </rPr>
      <t xml:space="preserve">：「設定」シートで銘柄タイトル（ポケカ／ワンピカ／遊戯王 等）・希少性・</t>
    </r>
    <r>
      <rPr>
        <sz val="10"/>
        <color rgb="FF000000"/>
        <rFont val="Yu Gothic"/>
        <family val="0"/>
        <charset val="1"/>
      </rPr>
      <t xml:space="preserve">4</t>
    </r>
    <r>
      <rPr>
        <sz val="10"/>
        <color rgb="FF000000"/>
        <rFont val="WenQuanYi Zen Hei"/>
        <family val="2"/>
      </rPr>
      <t xml:space="preserve">象限しきい値を確認・調整する。</t>
    </r>
  </si>
  <si>
    <r>
      <rPr>
        <sz val="10"/>
        <color rgb="FF000000"/>
        <rFont val="WenQuanYi Zen Hei"/>
        <family val="2"/>
      </rPr>
      <t xml:space="preserve">　</t>
    </r>
    <r>
      <rPr>
        <sz val="10"/>
        <color rgb="FF000000"/>
        <rFont val="Yu Gothic"/>
        <family val="0"/>
        <charset val="1"/>
      </rPr>
      <t xml:space="preserve">Step2</t>
    </r>
    <r>
      <rPr>
        <sz val="10"/>
        <color rgb="FF000000"/>
        <rFont val="WenQuanYi Zen Hei"/>
        <family val="2"/>
      </rPr>
      <t xml:space="preserve">：「ウォッチリスト」にスニダンのウォッチリスト登録分を入力し、象限分布を確認する。</t>
    </r>
  </si>
  <si>
    <r>
      <rPr>
        <sz val="10"/>
        <color rgb="FF000000"/>
        <rFont val="WenQuanYi Zen Hei"/>
        <family val="2"/>
      </rPr>
      <t xml:space="preserve">　</t>
    </r>
    <r>
      <rPr>
        <sz val="10"/>
        <color rgb="FF000000"/>
        <rFont val="Yu Gothic"/>
        <family val="0"/>
        <charset val="1"/>
      </rPr>
      <t xml:space="preserve">Step3</t>
    </r>
    <r>
      <rPr>
        <sz val="10"/>
        <color rgb="FF000000"/>
        <rFont val="WenQuanYi Zen Hei"/>
        <family val="2"/>
      </rPr>
      <t xml:space="preserve">：「仕入れ計画」で象限別の上限単価・許容希少性／トレンド／ボラティリティ・予算配分を確定する。</t>
    </r>
  </si>
  <si>
    <r>
      <rPr>
        <sz val="10"/>
        <color rgb="FF000000"/>
        <rFont val="WenQuanYi Zen Hei"/>
        <family val="2"/>
      </rPr>
      <t xml:space="preserve">　</t>
    </r>
    <r>
      <rPr>
        <sz val="10"/>
        <color rgb="FF000000"/>
        <rFont val="Yu Gothic"/>
        <family val="0"/>
        <charset val="1"/>
      </rPr>
      <t xml:space="preserve">Step4</t>
    </r>
    <r>
      <rPr>
        <sz val="10"/>
        <color rgb="FF000000"/>
        <rFont val="WenQuanYi Zen Hei"/>
        <family val="2"/>
      </rPr>
      <t xml:space="preserve">：「在庫管理」に実在庫を棚卸し登録し、ポートフォリオ比率と偏りリスクを確認する。</t>
    </r>
  </si>
  <si>
    <r>
      <rPr>
        <sz val="10"/>
        <color rgb="FF000000"/>
        <rFont val="WenQuanYi Zen Hei"/>
        <family val="2"/>
      </rPr>
      <t xml:space="preserve">　</t>
    </r>
    <r>
      <rPr>
        <sz val="10"/>
        <color rgb="FF000000"/>
        <rFont val="Yu Gothic"/>
        <family val="0"/>
        <charset val="1"/>
      </rPr>
      <t xml:space="preserve">Step5</t>
    </r>
    <r>
      <rPr>
        <sz val="10"/>
        <color rgb="FF000000"/>
        <rFont val="WenQuanYi Zen Hei"/>
        <family val="2"/>
      </rPr>
      <t xml:space="preserve">：「ダッシュボード」を週次で確認し、仕入れ計画にフィードバックする。</t>
    </r>
  </si>
  <si>
    <t xml:space="preserve">■ 用語解説（投資フレームワーク検討資料に準拠）</t>
  </si>
  <si>
    <r>
      <rPr>
        <sz val="10"/>
        <color rgb="FF000000"/>
        <rFont val="WenQuanYi Zen Hei"/>
        <family val="2"/>
      </rPr>
      <t xml:space="preserve">　回転率：一定期間内に在庫が何回入れ替わる（売れる）かを示す指標。本ブックでは </t>
    </r>
    <r>
      <rPr>
        <sz val="10"/>
        <color rgb="FF000000"/>
        <rFont val="Yu Gothic"/>
        <family val="0"/>
        <charset val="1"/>
      </rPr>
      <t xml:space="preserve">365</t>
    </r>
    <r>
      <rPr>
        <sz val="10"/>
        <color rgb="FF000000"/>
        <rFont val="WenQuanYi Zen Hei"/>
        <family val="2"/>
      </rPr>
      <t xml:space="preserve">日</t>
    </r>
    <r>
      <rPr>
        <sz val="10"/>
        <color rgb="FF000000"/>
        <rFont val="Yu Gothic"/>
        <family val="0"/>
        <charset val="1"/>
      </rPr>
      <t xml:space="preserve">÷</t>
    </r>
    <r>
      <rPr>
        <sz val="10"/>
        <color rgb="FF000000"/>
        <rFont val="WenQuanYi Zen Hei"/>
        <family val="2"/>
      </rPr>
      <t xml:space="preserve">想定売却日数 で近似します。</t>
    </r>
  </si>
  <si>
    <r>
      <rPr>
        <sz val="10"/>
        <color rgb="FF000000"/>
        <rFont val="WenQuanYi Zen Hei"/>
        <family val="2"/>
      </rPr>
      <t xml:space="preserve">　資本効率：投じた資金に対してどれだけ効率よく利益を生めるか。「想定粗利率</t>
    </r>
    <r>
      <rPr>
        <sz val="10"/>
        <color rgb="FF000000"/>
        <rFont val="Yu Gothic"/>
        <family val="0"/>
        <charset val="1"/>
      </rPr>
      <t xml:space="preserve">×</t>
    </r>
    <r>
      <rPr>
        <sz val="10"/>
        <color rgb="FF000000"/>
        <rFont val="WenQuanYi Zen Hei"/>
        <family val="2"/>
      </rPr>
      <t xml:space="preserve">回転率」で近似し、ウォッチリスト・在庫管理シートに列を設けています。同じ象限内でカードを比較する際、この値が高いものを優先的に仕入れる基準になります。</t>
    </r>
  </si>
  <si>
    <r>
      <rPr>
        <sz val="10"/>
        <color rgb="FF000000"/>
        <rFont val="WenQuanYi Zen Hei"/>
        <family val="2"/>
      </rPr>
      <t xml:space="preserve">　実効流動性：理論上の流動性（想定売却日数）から、ボラティリティによる値崩れリスクを差し引いた、実質的な換金力。本ブックでは「実効想定売却日数＝想定売却日数</t>
    </r>
    <r>
      <rPr>
        <sz val="10"/>
        <color rgb="FF000000"/>
        <rFont val="Yu Gothic"/>
        <family val="0"/>
        <charset val="1"/>
      </rPr>
      <t xml:space="preserve">×</t>
    </r>
    <r>
      <rPr>
        <sz val="10"/>
        <color rgb="FF000000"/>
        <rFont val="WenQuanYi Zen Hei"/>
        <family val="2"/>
      </rPr>
      <t xml:space="preserve">ボラティリティ係数」で近似します（設定シートで係数を調整可能）。</t>
    </r>
  </si>
  <si>
    <r>
      <rPr>
        <sz val="10"/>
        <color rgb="FF000000"/>
        <rFont val="WenQuanYi Zen Hei"/>
        <family val="2"/>
      </rPr>
      <t xml:space="preserve">　ポジションサイズ目安：「期待リターン（想定粗利率）</t>
    </r>
    <r>
      <rPr>
        <sz val="10"/>
        <color rgb="FF000000"/>
        <rFont val="Yu Gothic"/>
        <family val="0"/>
        <charset val="1"/>
      </rPr>
      <t xml:space="preserve">÷</t>
    </r>
    <r>
      <rPr>
        <sz val="10"/>
        <color rgb="FF000000"/>
        <rFont val="WenQuanYi Zen Hei"/>
        <family val="2"/>
      </rPr>
      <t xml:space="preserve">ボラティリティ」で近似した、その銘柄をどれだけ厚く持ってよいかの目安スコア。同じ象限内でも、ボラティリティが高いものほど保有量を抑える判断に使います。</t>
    </r>
  </si>
  <si>
    <r>
      <rPr>
        <sz val="10"/>
        <color rgb="FF000000"/>
        <rFont val="WenQuanYi Zen Hei"/>
        <family val="2"/>
      </rPr>
      <t xml:space="preserve">　相関ドライバー：複数の商材が同じ要因（キャラクター人気・絵師人気・収録弾の再販発表・周年企画等）で連動して値動きする際の共通要因。ジャンル（銘柄タイトル）が分散していても、同じキャラ・イラストレーター・企画に在庫が偏っていると、その人気が落ちた瞬間に在庫全体が一緒に値下がりするリスクがあります。ダッシュボードでキャラ別・イラストレーター別・企画</t>
    </r>
    <r>
      <rPr>
        <sz val="10"/>
        <color rgb="FF000000"/>
        <rFont val="Yu Gothic"/>
        <family val="0"/>
        <charset val="1"/>
      </rPr>
      <t xml:space="preserve">/</t>
    </r>
    <r>
      <rPr>
        <sz val="10"/>
        <color rgb="FF000000"/>
        <rFont val="WenQuanYi Zen Hei"/>
        <family val="2"/>
      </rPr>
      <t xml:space="preserve">収録弾別・希少性帯別に偏りをチェックできます。</t>
    </r>
  </si>
  <si>
    <r>
      <rPr>
        <sz val="10"/>
        <color rgb="FF000000"/>
        <rFont val="WenQuanYi Zen Hei"/>
        <family val="2"/>
      </rPr>
      <t xml:space="preserve">　投資フレームワークとの対応：本ブックの「コア／回転／厳選／見送り」は、社内の投資フレームワーク検討資料でいう「コアポジション／キャッシュ同等物／グロース枠／劣後在庫」にそれぞれ対応します（詳細は「設定」シートの</t>
    </r>
    <r>
      <rPr>
        <sz val="10"/>
        <color rgb="FF000000"/>
        <rFont val="Yu Gothic"/>
        <family val="0"/>
        <charset val="1"/>
      </rPr>
      <t xml:space="preserve">4</t>
    </r>
    <r>
      <rPr>
        <sz val="10"/>
        <color rgb="FF000000"/>
        <rFont val="WenQuanYi Zen Hei"/>
        <family val="2"/>
      </rPr>
      <t xml:space="preserve">象限マスタ参照）。</t>
    </r>
  </si>
  <si>
    <t xml:space="preserve">■ 注意事項</t>
  </si>
  <si>
    <t xml:space="preserve">　サンプル行：各シートの数行はサンプル値です。実データ入力時は上書き、または不要なら内容を削除してください（数式は残しても構いません）。</t>
  </si>
  <si>
    <r>
      <rPr>
        <sz val="10"/>
        <color rgb="FF000000"/>
        <rFont val="WenQuanYi Zen Hei"/>
        <family val="2"/>
      </rPr>
      <t xml:space="preserve">　偏りリスク</t>
    </r>
    <r>
      <rPr>
        <sz val="10"/>
        <color rgb="FF000000"/>
        <rFont val="Yu Gothic"/>
        <family val="0"/>
        <charset val="1"/>
      </rPr>
      <t xml:space="preserve">(HHI)</t>
    </r>
    <r>
      <rPr>
        <sz val="10"/>
        <color rgb="FF000000"/>
        <rFont val="WenQuanYi Zen Hei"/>
        <family val="2"/>
      </rPr>
      <t xml:space="preserve">：特定のカテゴリ・キャラ・イラストレーターに在庫が偏っていないかを数値化したものです（集中度指数／</t>
    </r>
    <r>
      <rPr>
        <sz val="10"/>
        <color rgb="FF000000"/>
        <rFont val="Yu Gothic"/>
        <family val="0"/>
        <charset val="1"/>
      </rPr>
      <t xml:space="preserve">HHI</t>
    </r>
    <r>
      <rPr>
        <sz val="10"/>
        <color rgb="FF000000"/>
        <rFont val="WenQuanYi Zen Hei"/>
        <family val="2"/>
      </rPr>
      <t xml:space="preserve">）。数値が大きいほど偏りが大きいことを意味します。目安：</t>
    </r>
    <r>
      <rPr>
        <sz val="10"/>
        <color rgb="FF000000"/>
        <rFont val="Yu Gothic"/>
        <family val="0"/>
        <charset val="1"/>
      </rPr>
      <t xml:space="preserve">1,500</t>
    </r>
    <r>
      <rPr>
        <sz val="10"/>
        <color rgb="FF000000"/>
        <rFont val="WenQuanYi Zen Hei"/>
        <family val="2"/>
      </rPr>
      <t xml:space="preserve">未満＝分散、</t>
    </r>
    <r>
      <rPr>
        <sz val="10"/>
        <color rgb="FF000000"/>
        <rFont val="Yu Gothic"/>
        <family val="0"/>
        <charset val="1"/>
      </rPr>
      <t xml:space="preserve">1,500</t>
    </r>
    <r>
      <rPr>
        <sz val="10"/>
        <color rgb="FF000000"/>
        <rFont val="WenQuanYi Zen Hei"/>
        <family val="2"/>
      </rPr>
      <t xml:space="preserve">〜</t>
    </r>
    <r>
      <rPr>
        <sz val="10"/>
        <color rgb="FF000000"/>
        <rFont val="Yu Gothic"/>
        <family val="0"/>
        <charset val="1"/>
      </rPr>
      <t xml:space="preserve">2,500</t>
    </r>
    <r>
      <rPr>
        <sz val="10"/>
        <color rgb="FF000000"/>
        <rFont val="WenQuanYi Zen Hei"/>
        <family val="2"/>
      </rPr>
      <t xml:space="preserve">＝中程度、</t>
    </r>
    <r>
      <rPr>
        <sz val="10"/>
        <color rgb="FF000000"/>
        <rFont val="Yu Gothic"/>
        <family val="0"/>
        <charset val="1"/>
      </rPr>
      <t xml:space="preserve">2,500</t>
    </r>
    <r>
      <rPr>
        <sz val="10"/>
        <color rgb="FF000000"/>
        <rFont val="WenQuanYi Zen Hei"/>
        <family val="2"/>
      </rPr>
      <t xml:space="preserve">以上＝偏りが大きい。</t>
    </r>
  </si>
  <si>
    <t xml:space="preserve">設定</t>
  </si>
  <si>
    <r>
      <rPr>
        <i val="true"/>
        <sz val="9"/>
        <color rgb="FF666666"/>
        <rFont val="Yu Gothic"/>
        <family val="0"/>
        <charset val="1"/>
      </rPr>
      <t xml:space="preserve">4</t>
    </r>
    <r>
      <rPr>
        <i val="true"/>
        <sz val="9"/>
        <color rgb="FF666666"/>
        <rFont val="WenQuanYi Zen Hei"/>
        <family val="2"/>
      </rPr>
      <t xml:space="preserve">象限のしきい値とマスタデータ。事業実態に合わせて調整してください。</t>
    </r>
  </si>
  <si>
    <r>
      <rPr>
        <b val="true"/>
        <sz val="11"/>
        <color rgb="FF1F4E78"/>
        <rFont val="Yu Gothic"/>
        <family val="0"/>
        <charset val="1"/>
      </rPr>
      <t xml:space="preserve">■ 4</t>
    </r>
    <r>
      <rPr>
        <b val="true"/>
        <sz val="11"/>
        <color rgb="FF1F4E78"/>
        <rFont val="WenQuanYi Zen Hei"/>
        <family val="2"/>
      </rPr>
      <t xml:space="preserve">象限 自動判定しきい値（想定売却日数・想定粗利率から象限を機械的に判定）</t>
    </r>
  </si>
  <si>
    <t xml:space="preserve">早く売れる基準（想定売却日数・この日数以内なら「早く売れる」とみなす）</t>
  </si>
  <si>
    <t xml:space="preserve">儲かる基準（想定粗利率・この率以上なら「利益率が高い」とみなす）</t>
  </si>
  <si>
    <t xml:space="preserve">売れ残りリスク基準（想定売却日数がこの日数を超えたら要注意）</t>
  </si>
  <si>
    <r>
      <rPr>
        <i val="true"/>
        <sz val="9"/>
        <color rgb="FF666666"/>
        <rFont val="WenQuanYi Zen Hei"/>
        <family val="2"/>
      </rPr>
      <t xml:space="preserve">※ この</t>
    </r>
    <r>
      <rPr>
        <i val="true"/>
        <sz val="9"/>
        <color rgb="FF666666"/>
        <rFont val="Yu Gothic"/>
        <family val="0"/>
        <charset val="1"/>
      </rPr>
      <t xml:space="preserve">2</t>
    </r>
    <r>
      <rPr>
        <i val="true"/>
        <sz val="9"/>
        <color rgb="FF666666"/>
        <rFont val="WenQuanYi Zen Hei"/>
        <family val="2"/>
      </rPr>
      <t xml:space="preserve">つのしきい値は象限の自動判定専用です。カードごとの仕入れ可否は「仕入れ計画」シートの希少性／トレンド／ボラティリティ条件で判断します。</t>
    </r>
  </si>
  <si>
    <r>
      <rPr>
        <b val="true"/>
        <sz val="11"/>
        <color rgb="FF1F4E78"/>
        <rFont val="Yu Gothic"/>
        <family val="0"/>
        <charset val="1"/>
      </rPr>
      <t xml:space="preserve">■ 4</t>
    </r>
    <r>
      <rPr>
        <b val="true"/>
        <sz val="11"/>
        <color rgb="FF1F4E78"/>
        <rFont val="WenQuanYi Zen Hei"/>
        <family val="2"/>
      </rPr>
      <t xml:space="preserve">象限マスタ（分類ロジック・方針の目安・投資フレームワークとの対応）</t>
    </r>
  </si>
  <si>
    <t xml:space="preserve">象限コード</t>
  </si>
  <si>
    <t xml:space="preserve">早く売れる？</t>
  </si>
  <si>
    <t xml:space="preserve">利益率は高い？</t>
  </si>
  <si>
    <t xml:space="preserve">方針の目安</t>
  </si>
  <si>
    <t xml:space="preserve">投資フレームワークでの呼称</t>
  </si>
  <si>
    <t xml:space="preserve">資金配分の目安</t>
  </si>
  <si>
    <r>
      <rPr>
        <sz val="10"/>
        <color rgb="FF000000"/>
        <rFont val="Yu Gothic"/>
        <family val="0"/>
        <charset val="1"/>
      </rPr>
      <t xml:space="preserve">I(</t>
    </r>
    <r>
      <rPr>
        <sz val="10"/>
        <color rgb="FF000000"/>
        <rFont val="WenQuanYi Zen Hei"/>
        <family val="2"/>
      </rPr>
      <t xml:space="preserve">コア</t>
    </r>
    <r>
      <rPr>
        <sz val="10"/>
        <color rgb="FF000000"/>
        <rFont val="Yu Gothic"/>
        <family val="0"/>
        <charset val="1"/>
      </rPr>
      <t xml:space="preserve">)</t>
    </r>
  </si>
  <si>
    <t xml:space="preserve">早い</t>
  </si>
  <si>
    <t xml:space="preserve">高い</t>
  </si>
  <si>
    <t xml:space="preserve">積極的に仕入れる中心銘柄。予算配分と在庫上限を厚めに。</t>
  </si>
  <si>
    <t xml:space="preserve">コアポジション（収益基盤）</t>
  </si>
  <si>
    <r>
      <rPr>
        <sz val="10"/>
        <color rgb="FF000000"/>
        <rFont val="Yu Gothic"/>
        <family val="0"/>
        <charset val="1"/>
      </rPr>
      <t xml:space="preserve">II(</t>
    </r>
    <r>
      <rPr>
        <sz val="10"/>
        <color rgb="FF000000"/>
        <rFont val="WenQuanYi Zen Hei"/>
        <family val="2"/>
      </rPr>
      <t xml:space="preserve">回転</t>
    </r>
    <r>
      <rPr>
        <sz val="10"/>
        <color rgb="FF000000"/>
        <rFont val="Yu Gothic"/>
        <family val="0"/>
        <charset val="1"/>
      </rPr>
      <t xml:space="preserve">)</t>
    </r>
  </si>
  <si>
    <t xml:space="preserve">低い（薄利）</t>
  </si>
  <si>
    <t xml:space="preserve">資金回転を稼ぐ数量枠。単価上限を抑えて回転数で稼ぐ。</t>
  </si>
  <si>
    <t xml:space="preserve">キャッシュ同等物（リスクバッファ）</t>
  </si>
  <si>
    <r>
      <rPr>
        <sz val="10"/>
        <color rgb="FF000000"/>
        <rFont val="Yu Gothic"/>
        <family val="0"/>
        <charset val="1"/>
      </rPr>
      <t xml:space="preserve">III(</t>
    </r>
    <r>
      <rPr>
        <sz val="10"/>
        <color rgb="FF000000"/>
        <rFont val="WenQuanYi Zen Hei"/>
        <family val="2"/>
      </rPr>
      <t xml:space="preserve">厳選</t>
    </r>
    <r>
      <rPr>
        <sz val="10"/>
        <color rgb="FF000000"/>
        <rFont val="Yu Gothic"/>
        <family val="0"/>
        <charset val="1"/>
      </rPr>
      <t xml:space="preserve">)</t>
    </r>
  </si>
  <si>
    <t xml:space="preserve">遅い</t>
  </si>
  <si>
    <t xml:space="preserve">資金拘束を許容できる範囲で少数厳選。上限点数を絞る。</t>
  </si>
  <si>
    <t xml:space="preserve">グロース枠（将来リターン）</t>
  </si>
  <si>
    <r>
      <rPr>
        <sz val="10"/>
        <color rgb="FF000000"/>
        <rFont val="Yu Gothic"/>
        <family val="0"/>
        <charset val="1"/>
      </rPr>
      <t xml:space="preserve">IV(</t>
    </r>
    <r>
      <rPr>
        <sz val="10"/>
        <color rgb="FF000000"/>
        <rFont val="WenQuanYi Zen Hei"/>
        <family val="2"/>
      </rPr>
      <t xml:space="preserve">見送り</t>
    </r>
    <r>
      <rPr>
        <sz val="10"/>
        <color rgb="FF000000"/>
        <rFont val="Yu Gothic"/>
        <family val="0"/>
        <charset val="1"/>
      </rPr>
      <t xml:space="preserve">)</t>
    </r>
  </si>
  <si>
    <t xml:space="preserve">原則仕入れ見送り。ウォッチのみ継続し再評価を待つ。</t>
  </si>
  <si>
    <t xml:space="preserve">劣後在庫（排除対象）</t>
  </si>
  <si>
    <t xml:space="preserve">※ 「投資フレームワークでの呼称」「資金配分の目安」は社内の投資フレームワーク検討資料（コア・サテライト型：コアが過半・劣後は最小限）を参考にした値です。「仕入れ計画」シートの予算配分比率の初期値として反映しています。</t>
  </si>
  <si>
    <t xml:space="preserve">■ 銘柄タイトルマスタ（トレカのタイトル。在庫管理・ウォッチリストのプルダウンで使用）</t>
  </si>
  <si>
    <t xml:space="preserve">銘柄タイトル</t>
  </si>
  <si>
    <t xml:space="preserve">ポケモンカード</t>
  </si>
  <si>
    <t xml:space="preserve">ワンピースカード</t>
  </si>
  <si>
    <t xml:space="preserve">遊戯王</t>
  </si>
  <si>
    <t xml:space="preserve">デュエル・マスターズ</t>
  </si>
  <si>
    <t xml:space="preserve">マジック：ザ・ギャザリング</t>
  </si>
  <si>
    <t xml:space="preserve">その他</t>
  </si>
  <si>
    <r>
      <rPr>
        <b val="true"/>
        <sz val="11"/>
        <color rgb="FF1F4E78"/>
        <rFont val="WenQuanYi Zen Hei"/>
        <family val="2"/>
      </rPr>
      <t xml:space="preserve">■ 希少性マスタ（レアリティ。</t>
    </r>
    <r>
      <rPr>
        <b val="true"/>
        <sz val="11"/>
        <color rgb="FF1F4E78"/>
        <rFont val="Yu Gothic"/>
        <family val="0"/>
        <charset val="1"/>
      </rPr>
      <t xml:space="preserve">SS</t>
    </r>
    <r>
      <rPr>
        <b val="true"/>
        <sz val="11"/>
        <color rgb="FF1F4E78"/>
        <rFont val="WenQuanYi Zen Hei"/>
        <family val="2"/>
      </rPr>
      <t xml:space="preserve">が最も希少）</t>
    </r>
  </si>
  <si>
    <t xml:space="preserve">希少性</t>
  </si>
  <si>
    <t xml:space="preserve">SS</t>
  </si>
  <si>
    <t xml:space="preserve">S</t>
  </si>
  <si>
    <t xml:space="preserve">A</t>
  </si>
  <si>
    <t xml:space="preserve">B</t>
  </si>
  <si>
    <t xml:space="preserve">C</t>
  </si>
  <si>
    <t xml:space="preserve">■ トレンドマスタ（価格・需要の勢い）</t>
  </si>
  <si>
    <t xml:space="preserve">トレンド</t>
  </si>
  <si>
    <t xml:space="preserve">上昇</t>
  </si>
  <si>
    <t xml:space="preserve">安定</t>
  </si>
  <si>
    <t xml:space="preserve">下降</t>
  </si>
  <si>
    <t xml:space="preserve">■ ボラティリティマスタ（価格の変動の荒さ・実効流動性の計算に使用）</t>
  </si>
  <si>
    <t xml:space="preserve">ボラティリティ</t>
  </si>
  <si>
    <t xml:space="preserve">目減り係数</t>
  </si>
  <si>
    <t xml:space="preserve">高</t>
  </si>
  <si>
    <t xml:space="preserve">中</t>
  </si>
  <si>
    <t xml:space="preserve">低</t>
  </si>
  <si>
    <t xml:space="preserve">※ 目減り係数：想定売却日数にこの係数を掛けて「実効想定売却日数」を算出します（値動きが荒いほど、安全に売り切るまでに実質的な時間がかかるとみなす）。</t>
  </si>
  <si>
    <t xml:space="preserve">■ ステータスマスタ</t>
  </si>
  <si>
    <t xml:space="preserve">ステータス</t>
  </si>
  <si>
    <t xml:space="preserve">在庫中</t>
  </si>
  <si>
    <t xml:space="preserve">受注済</t>
  </si>
  <si>
    <t xml:space="preserve">売却済</t>
  </si>
  <si>
    <r>
      <rPr>
        <b val="true"/>
        <sz val="11"/>
        <color rgb="FF1F4E78"/>
        <rFont val="WenQuanYi Zen Hei"/>
        <family val="2"/>
      </rPr>
      <t xml:space="preserve">■ キャラクター集中リスク集計対象リスト（在庫管理シートで使うキャラ名を入力すると、ダッシュボードで自動集計されます。最大</t>
    </r>
    <r>
      <rPr>
        <b val="true"/>
        <sz val="11"/>
        <color rgb="FF1F4E78"/>
        <rFont val="Yu Gothic"/>
        <family val="0"/>
        <charset val="1"/>
      </rPr>
      <t xml:space="preserve">20</t>
    </r>
    <r>
      <rPr>
        <b val="true"/>
        <sz val="11"/>
        <color rgb="FF1F4E78"/>
        <rFont val="WenQuanYi Zen Hei"/>
        <family val="2"/>
      </rPr>
      <t xml:space="preserve">件）</t>
    </r>
  </si>
  <si>
    <t xml:space="preserve">キャラ名</t>
  </si>
  <si>
    <t xml:space="preserve">リザードン</t>
  </si>
  <si>
    <t xml:space="preserve">ルフィ</t>
  </si>
  <si>
    <t xml:space="preserve">青眼の白龍</t>
  </si>
  <si>
    <r>
      <rPr>
        <b val="true"/>
        <sz val="11"/>
        <color rgb="FF1F4E78"/>
        <rFont val="WenQuanYi Zen Hei"/>
        <family val="2"/>
      </rPr>
      <t xml:space="preserve">■ イラストレーター集中リスク集計対象リスト（最大</t>
    </r>
    <r>
      <rPr>
        <b val="true"/>
        <sz val="11"/>
        <color rgb="FF1F4E78"/>
        <rFont val="Yu Gothic"/>
        <family val="0"/>
        <charset val="1"/>
      </rPr>
      <t xml:space="preserve">20</t>
    </r>
    <r>
      <rPr>
        <b val="true"/>
        <sz val="11"/>
        <color rgb="FF1F4E78"/>
        <rFont val="WenQuanYi Zen Hei"/>
        <family val="2"/>
      </rPr>
      <t xml:space="preserve">件）</t>
    </r>
  </si>
  <si>
    <t xml:space="preserve">イラストレーター名</t>
  </si>
  <si>
    <r>
      <rPr>
        <sz val="10"/>
        <color rgb="FF0000FF"/>
        <rFont val="WenQuanYi Zen Hei"/>
        <family val="2"/>
      </rPr>
      <t xml:space="preserve">サンプル絵師</t>
    </r>
    <r>
      <rPr>
        <sz val="10"/>
        <color rgb="FF0000FF"/>
        <rFont val="Yu Gothic"/>
        <family val="0"/>
        <charset val="1"/>
      </rPr>
      <t xml:space="preserve">A</t>
    </r>
  </si>
  <si>
    <r>
      <rPr>
        <sz val="10"/>
        <color rgb="FF0000FF"/>
        <rFont val="WenQuanYi Zen Hei"/>
        <family val="2"/>
      </rPr>
      <t xml:space="preserve">サンプル絵師</t>
    </r>
    <r>
      <rPr>
        <sz val="10"/>
        <color rgb="FF0000FF"/>
        <rFont val="Yu Gothic"/>
        <family val="0"/>
        <charset val="1"/>
      </rPr>
      <t xml:space="preserve">B</t>
    </r>
  </si>
  <si>
    <r>
      <rPr>
        <b val="true"/>
        <sz val="11"/>
        <color rgb="FF1F4E78"/>
        <rFont val="WenQuanYi Zen Hei"/>
        <family val="2"/>
      </rPr>
      <t xml:space="preserve">■ 企画・収録弾 集中リスク集計対象リスト（相関ドライバー。収録弾／レアリティ帯／周年企画など、キャラ・イラストレーター以外で値動きが連動する要因。在庫管理シートで使う値を入力すると、ダッシュボードで自動集計されます。最大</t>
    </r>
    <r>
      <rPr>
        <b val="true"/>
        <sz val="11"/>
        <color rgb="FF1F4E78"/>
        <rFont val="Yu Gothic"/>
        <family val="0"/>
        <charset val="1"/>
      </rPr>
      <t xml:space="preserve">20</t>
    </r>
    <r>
      <rPr>
        <b val="true"/>
        <sz val="11"/>
        <color rgb="FF1F4E78"/>
        <rFont val="WenQuanYi Zen Hei"/>
        <family val="2"/>
      </rPr>
      <t xml:space="preserve">件）</t>
    </r>
  </si>
  <si>
    <t xml:space="preserve">企画・収録弾名</t>
  </si>
  <si>
    <r>
      <rPr>
        <sz val="10"/>
        <color rgb="FF0000FF"/>
        <rFont val="WenQuanYi Zen Hei"/>
        <family val="2"/>
      </rPr>
      <t xml:space="preserve">スカーレット</t>
    </r>
    <r>
      <rPr>
        <sz val="10"/>
        <color rgb="FF0000FF"/>
        <rFont val="Yu Gothic"/>
        <family val="0"/>
        <charset val="1"/>
      </rPr>
      <t xml:space="preserve">&amp;</t>
    </r>
    <r>
      <rPr>
        <sz val="10"/>
        <color rgb="FF0000FF"/>
        <rFont val="WenQuanYi Zen Hei"/>
        <family val="2"/>
      </rPr>
      <t xml:space="preserve">バイオレット </t>
    </r>
    <r>
      <rPr>
        <sz val="10"/>
        <color rgb="FF0000FF"/>
        <rFont val="Yu Gothic"/>
        <family val="0"/>
        <charset val="1"/>
      </rPr>
      <t xml:space="preserve">151</t>
    </r>
  </si>
  <si>
    <t xml:space="preserve">ROMANCE DAWN</t>
  </si>
  <si>
    <r>
      <rPr>
        <sz val="10"/>
        <color rgb="FF0000FF"/>
        <rFont val="Yu Gothic"/>
        <family val="0"/>
        <charset val="1"/>
      </rPr>
      <t xml:space="preserve">25</t>
    </r>
    <r>
      <rPr>
        <sz val="10"/>
        <color rgb="FF0000FF"/>
        <rFont val="WenQuanYi Zen Hei"/>
        <family val="2"/>
      </rPr>
      <t xml:space="preserve">周年記念</t>
    </r>
  </si>
  <si>
    <t xml:space="preserve">※ 相関ドライバーとは、複数の商材が同じ要因（人気投票・映画出演・再販発表・環境トップ入り等）で連動して値動きする際の共通要因です。ジャンル（銘柄タイトル）が分散していても、同じ収録弾・企画に在庫が偏っていると、その人気が落ちた瞬間に在庫全体が一緒に値下がりするリスクがあります。</t>
  </si>
  <si>
    <r>
      <rPr>
        <b val="true"/>
        <sz val="16"/>
        <color rgb="FF1F4E78"/>
        <rFont val="WenQuanYi Zen Hei"/>
        <family val="2"/>
      </rPr>
      <t xml:space="preserve">ウォッチリスト（</t>
    </r>
    <r>
      <rPr>
        <b val="true"/>
        <sz val="16"/>
        <color rgb="FF1F4E78"/>
        <rFont val="Yu Gothic"/>
        <family val="0"/>
        <charset val="1"/>
      </rPr>
      <t xml:space="preserve">4</t>
    </r>
    <r>
      <rPr>
        <b val="true"/>
        <sz val="16"/>
        <color rgb="FF1F4E78"/>
        <rFont val="WenQuanYi Zen Hei"/>
        <family val="2"/>
      </rPr>
      <t xml:space="preserve">象限分類）</t>
    </r>
  </si>
  <si>
    <r>
      <rPr>
        <i val="true"/>
        <sz val="9"/>
        <color rgb="FF666666"/>
        <rFont val="WenQuanYi Zen Hei"/>
        <family val="2"/>
      </rPr>
      <t xml:space="preserve">スニダン等のウォッチリスト登録分を入力すると、想定売却日数・想定粗利率から自動で</t>
    </r>
    <r>
      <rPr>
        <i val="true"/>
        <sz val="9"/>
        <color rgb="FF666666"/>
        <rFont val="Yu Gothic"/>
        <family val="0"/>
        <charset val="1"/>
      </rPr>
      <t xml:space="preserve">4</t>
    </r>
    <r>
      <rPr>
        <i val="true"/>
        <sz val="9"/>
        <color rgb="FF666666"/>
        <rFont val="WenQuanYi Zen Hei"/>
        <family val="2"/>
      </rPr>
      <t xml:space="preserve">象限に振り分けます。青字セルのみ入力してください。</t>
    </r>
  </si>
  <si>
    <t xml:space="preserve">■ 象限別 候補数サマリー</t>
  </si>
  <si>
    <r>
      <rPr>
        <sz val="10"/>
        <color rgb="FF000000"/>
        <rFont val="Yu Gothic"/>
        <family val="0"/>
        <charset val="1"/>
      </rPr>
      <t xml:space="preserve">I(</t>
    </r>
    <r>
      <rPr>
        <sz val="10"/>
        <color rgb="FF000000"/>
        <rFont val="WenQuanYi Zen Hei"/>
        <family val="2"/>
      </rPr>
      <t xml:space="preserve">コア</t>
    </r>
    <r>
      <rPr>
        <sz val="10"/>
        <color rgb="FF000000"/>
        <rFont val="Yu Gothic"/>
        <family val="0"/>
        <charset val="1"/>
      </rPr>
      <t xml:space="preserve">) </t>
    </r>
    <r>
      <rPr>
        <sz val="10"/>
        <color rgb="FF000000"/>
        <rFont val="WenQuanYi Zen Hei"/>
        <family val="2"/>
      </rPr>
      <t xml:space="preserve">候補数</t>
    </r>
  </si>
  <si>
    <r>
      <rPr>
        <sz val="10"/>
        <color rgb="FF000000"/>
        <rFont val="Yu Gothic"/>
        <family val="0"/>
        <charset val="1"/>
      </rPr>
      <t xml:space="preserve">II(</t>
    </r>
    <r>
      <rPr>
        <sz val="10"/>
        <color rgb="FF000000"/>
        <rFont val="WenQuanYi Zen Hei"/>
        <family val="2"/>
      </rPr>
      <t xml:space="preserve">回転</t>
    </r>
    <r>
      <rPr>
        <sz val="10"/>
        <color rgb="FF000000"/>
        <rFont val="Yu Gothic"/>
        <family val="0"/>
        <charset val="1"/>
      </rPr>
      <t xml:space="preserve">) </t>
    </r>
    <r>
      <rPr>
        <sz val="10"/>
        <color rgb="FF000000"/>
        <rFont val="WenQuanYi Zen Hei"/>
        <family val="2"/>
      </rPr>
      <t xml:space="preserve">候補数</t>
    </r>
  </si>
  <si>
    <r>
      <rPr>
        <sz val="10"/>
        <color rgb="FF000000"/>
        <rFont val="Yu Gothic"/>
        <family val="0"/>
        <charset val="1"/>
      </rPr>
      <t xml:space="preserve">III(</t>
    </r>
    <r>
      <rPr>
        <sz val="10"/>
        <color rgb="FF000000"/>
        <rFont val="WenQuanYi Zen Hei"/>
        <family val="2"/>
      </rPr>
      <t xml:space="preserve">厳選</t>
    </r>
    <r>
      <rPr>
        <sz val="10"/>
        <color rgb="FF000000"/>
        <rFont val="Yu Gothic"/>
        <family val="0"/>
        <charset val="1"/>
      </rPr>
      <t xml:space="preserve">) </t>
    </r>
    <r>
      <rPr>
        <sz val="10"/>
        <color rgb="FF000000"/>
        <rFont val="WenQuanYi Zen Hei"/>
        <family val="2"/>
      </rPr>
      <t xml:space="preserve">候補数</t>
    </r>
  </si>
  <si>
    <r>
      <rPr>
        <sz val="10"/>
        <color rgb="FF000000"/>
        <rFont val="Yu Gothic"/>
        <family val="0"/>
        <charset val="1"/>
      </rPr>
      <t xml:space="preserve">IV(</t>
    </r>
    <r>
      <rPr>
        <sz val="10"/>
        <color rgb="FF000000"/>
        <rFont val="WenQuanYi Zen Hei"/>
        <family val="2"/>
      </rPr>
      <t xml:space="preserve">見送り</t>
    </r>
    <r>
      <rPr>
        <sz val="10"/>
        <color rgb="FF000000"/>
        <rFont val="Yu Gothic"/>
        <family val="0"/>
        <charset val="1"/>
      </rPr>
      <t xml:space="preserve">) </t>
    </r>
    <r>
      <rPr>
        <sz val="10"/>
        <color rgb="FF000000"/>
        <rFont val="WenQuanYi Zen Hei"/>
        <family val="2"/>
      </rPr>
      <t xml:space="preserve">候補数</t>
    </r>
  </si>
  <si>
    <t xml:space="preserve">No</t>
  </si>
  <si>
    <t xml:space="preserve">銘柄名</t>
  </si>
  <si>
    <t xml:space="preserve">スニダン参考価格
（現在相場）</t>
  </si>
  <si>
    <t xml:space="preserve">想定仕入値</t>
  </si>
  <si>
    <t xml:space="preserve">想定売却価格</t>
  </si>
  <si>
    <t xml:space="preserve">想定売却
日数</t>
  </si>
  <si>
    <t xml:space="preserve">実効想定売却
日数（ボラ考慮）</t>
  </si>
  <si>
    <t xml:space="preserve">想定粗利額</t>
  </si>
  <si>
    <t xml:space="preserve">想定粗利率</t>
  </si>
  <si>
    <r>
      <rPr>
        <b val="true"/>
        <sz val="11"/>
        <color rgb="FFFFFFFF"/>
        <rFont val="WenQuanYi Zen Hei"/>
        <family val="2"/>
      </rPr>
      <t xml:space="preserve">資本効率
（利益率</t>
    </r>
    <r>
      <rPr>
        <b val="true"/>
        <sz val="11"/>
        <color rgb="FFFFFFFF"/>
        <rFont val="Yu Gothic"/>
        <family val="0"/>
        <charset val="1"/>
      </rPr>
      <t xml:space="preserve">×</t>
    </r>
    <r>
      <rPr>
        <b val="true"/>
        <sz val="11"/>
        <color rgb="FFFFFFFF"/>
        <rFont val="WenQuanYi Zen Hei"/>
        <family val="2"/>
      </rPr>
      <t xml:space="preserve">回転率）</t>
    </r>
  </si>
  <si>
    <t xml:space="preserve">ポジション
サイズ目安</t>
  </si>
  <si>
    <t xml:space="preserve">象限</t>
  </si>
  <si>
    <t xml:space="preserve">仕入れ判定</t>
  </si>
  <si>
    <t xml:space="preserve">メモ</t>
  </si>
  <si>
    <r>
      <rPr>
        <sz val="10"/>
        <color rgb="FF0000FF"/>
        <rFont val="WenQuanYi Zen Hei"/>
        <family val="2"/>
      </rPr>
      <t xml:space="preserve">リザードン</t>
    </r>
    <r>
      <rPr>
        <sz val="10"/>
        <color rgb="FF0000FF"/>
        <rFont val="Yu Gothic"/>
        <family val="0"/>
        <charset val="1"/>
      </rPr>
      <t xml:space="preserve">VMAX</t>
    </r>
    <r>
      <rPr>
        <sz val="10"/>
        <color rgb="FF0000FF"/>
        <rFont val="WenQuanYi Zen Hei"/>
        <family val="2"/>
      </rPr>
      <t xml:space="preserve">（ポケモンカード）</t>
    </r>
  </si>
  <si>
    <r>
      <rPr>
        <sz val="10"/>
        <color rgb="FF0000FF"/>
        <rFont val="WenQuanYi Zen Hei"/>
        <family val="2"/>
      </rPr>
      <t xml:space="preserve">ルフィ </t>
    </r>
    <r>
      <rPr>
        <sz val="10"/>
        <color rgb="FF0000FF"/>
        <rFont val="Yu Gothic"/>
        <family val="0"/>
        <charset val="1"/>
      </rPr>
      <t xml:space="preserve">SEC</t>
    </r>
    <r>
      <rPr>
        <sz val="10"/>
        <color rgb="FF0000FF"/>
        <rFont val="WenQuanYi Zen Hei"/>
        <family val="2"/>
      </rPr>
      <t xml:space="preserve">（ワンピースカード）</t>
    </r>
  </si>
  <si>
    <t xml:space="preserve">青眼の白龍 初期（遊戯王）</t>
  </si>
  <si>
    <t xml:space="preserve">絶版・入手困難</t>
  </si>
  <si>
    <t xml:space="preserve">ピカチュウ プロモ（ポケモンカード）</t>
  </si>
  <si>
    <t xml:space="preserve">周年記念</t>
  </si>
  <si>
    <t xml:space="preserve">人気シングル（遊戯王）</t>
  </si>
  <si>
    <t xml:space="preserve">一般パック品（遊戯王）</t>
  </si>
  <si>
    <t xml:space="preserve">仕入れ計画（象限別ルール）</t>
  </si>
  <si>
    <t xml:space="preserve">「何を・いくらまで・どの希少性／トレンド／ボラティリティなら仕入れてよいか」を象限ごとに定義し、月間予算を配分します。黄色セルが判断の起点です。</t>
  </si>
  <si>
    <t xml:space="preserve">月間仕入れ総予算</t>
  </si>
  <si>
    <t xml:space="preserve">呼称</t>
  </si>
  <si>
    <t xml:space="preserve">方針</t>
  </si>
  <si>
    <t xml:space="preserve">対象タイトル例</t>
  </si>
  <si>
    <t xml:space="preserve">上限仕入単価</t>
  </si>
  <si>
    <t xml:space="preserve">許容希少性</t>
  </si>
  <si>
    <t xml:space="preserve">許容トレンド</t>
  </si>
  <si>
    <t xml:space="preserve">許容ボラティリティ</t>
  </si>
  <si>
    <t xml:space="preserve">予算配分比率</t>
  </si>
  <si>
    <t xml:space="preserve">予算配分金額</t>
  </si>
  <si>
    <t xml:space="preserve">在庫上限点数</t>
  </si>
  <si>
    <t xml:space="preserve">ウォッチ候補数</t>
  </si>
  <si>
    <t xml:space="preserve">現在庫点数</t>
  </si>
  <si>
    <t xml:space="preserve">積極的に仕入れる中心銘柄。優先確保。</t>
  </si>
  <si>
    <t xml:space="preserve">ポケモンカード、ワンピースカード</t>
  </si>
  <si>
    <r>
      <rPr>
        <sz val="10"/>
        <color rgb="FF0000FF"/>
        <rFont val="Yu Gothic"/>
        <family val="0"/>
        <charset val="1"/>
      </rPr>
      <t xml:space="preserve">S</t>
    </r>
    <r>
      <rPr>
        <sz val="10"/>
        <color rgb="FF0000FF"/>
        <rFont val="WenQuanYi Zen Hei"/>
        <family val="2"/>
      </rPr>
      <t xml:space="preserve">以上</t>
    </r>
  </si>
  <si>
    <t xml:space="preserve">低〜中</t>
  </si>
  <si>
    <t xml:space="preserve">資金回転重視。数量で稼ぐ。</t>
  </si>
  <si>
    <t xml:space="preserve">遊戯王、デュエル・マスターズ</t>
  </si>
  <si>
    <r>
      <rPr>
        <sz val="10"/>
        <color rgb="FF0000FF"/>
        <rFont val="Yu Gothic"/>
        <family val="0"/>
        <charset val="1"/>
      </rPr>
      <t xml:space="preserve">A</t>
    </r>
    <r>
      <rPr>
        <sz val="10"/>
        <color rgb="FF0000FF"/>
        <rFont val="WenQuanYi Zen Hei"/>
        <family val="2"/>
      </rPr>
      <t xml:space="preserve">以上</t>
    </r>
  </si>
  <si>
    <t xml:space="preserve">上昇・安定</t>
  </si>
  <si>
    <t xml:space="preserve">指定なし</t>
  </si>
  <si>
    <t xml:space="preserve">少数厳選。資金拘束を許容できる範囲で。</t>
  </si>
  <si>
    <t xml:space="preserve">原則仕入れ見送り。ウォッチのみ継続。</t>
  </si>
  <si>
    <t xml:space="preserve">-</t>
  </si>
  <si>
    <t xml:space="preserve">合計</t>
  </si>
  <si>
    <r>
      <rPr>
        <i val="true"/>
        <sz val="9"/>
        <color rgb="FF666666"/>
        <rFont val="WenQuanYi Zen Hei"/>
        <family val="2"/>
      </rPr>
      <t xml:space="preserve">※ 予算配分比率の合計は</t>
    </r>
    <r>
      <rPr>
        <i val="true"/>
        <sz val="9"/>
        <color rgb="FF666666"/>
        <rFont val="Yu Gothic"/>
        <family val="0"/>
        <charset val="1"/>
      </rPr>
      <t xml:space="preserve">100%</t>
    </r>
    <r>
      <rPr>
        <i val="true"/>
        <sz val="9"/>
        <color rgb="FF666666"/>
        <rFont val="WenQuanYi Zen Hei"/>
        <family val="2"/>
      </rPr>
      <t xml:space="preserve">になるように調整してください（赤色表示は</t>
    </r>
    <r>
      <rPr>
        <i val="true"/>
        <sz val="9"/>
        <color rgb="FF666666"/>
        <rFont val="Yu Gothic"/>
        <family val="0"/>
        <charset val="1"/>
      </rPr>
      <t xml:space="preserve">100%</t>
    </r>
    <r>
      <rPr>
        <i val="true"/>
        <sz val="9"/>
        <color rgb="FF666666"/>
        <rFont val="WenQuanYi Zen Hei"/>
        <family val="2"/>
      </rPr>
      <t xml:space="preserve">以外を意味します）。</t>
    </r>
  </si>
  <si>
    <t xml:space="preserve">※ 許容希少性／許容トレンド／許容ボラティリティは、ウォッチリスト・在庫管理シートの各カードの値と見比べて仕入れ可否を判断するための基準です。</t>
  </si>
  <si>
    <r>
      <rPr>
        <i val="true"/>
        <sz val="9"/>
        <color rgb="FF666666"/>
        <rFont val="WenQuanYi Zen Hei"/>
        <family val="2"/>
      </rPr>
      <t xml:space="preserve">※ 予算配分の初期値（</t>
    </r>
    <r>
      <rPr>
        <i val="true"/>
        <sz val="9"/>
        <color rgb="FF666666"/>
        <rFont val="Yu Gothic"/>
        <family val="0"/>
        <charset val="1"/>
      </rPr>
      <t xml:space="preserve">55%/20%/20%/5%</t>
    </r>
    <r>
      <rPr>
        <i val="true"/>
        <sz val="9"/>
        <color rgb="FF666666"/>
        <rFont val="WenQuanYi Zen Hei"/>
        <family val="2"/>
      </rPr>
      <t xml:space="preserve">）はコア・サテライト型投資の考え方（コアが過半・劣後は最小限）を参考にした値です。同じ象限内でカードを選ぶ際は、ウォッチリスト・在庫管理シートの「資本効率」が高いものを優先し、「ポジションサイズ目安」が低いもの（＝ボラティリティが高いもの）は保有量を絞ってください。</t>
    </r>
  </si>
  <si>
    <t xml:space="preserve">在庫管理シート（実在庫・ポートフォリオ管理）</t>
  </si>
  <si>
    <t xml:space="preserve">青字セルのみ入力してください。ステータスが「在庫中」の行のみ、集計・ポートフォリオ比率に反映されます。</t>
  </si>
  <si>
    <t xml:space="preserve">総仕入額（在庫中）</t>
  </si>
  <si>
    <t xml:space="preserve">総時価（在庫中）</t>
  </si>
  <si>
    <t xml:space="preserve">含み損益</t>
  </si>
  <si>
    <t xml:space="preserve">含み損益率</t>
  </si>
  <si>
    <t xml:space="preserve">在庫点数（在庫中）</t>
  </si>
  <si>
    <t xml:space="preserve">商品名</t>
  </si>
  <si>
    <t xml:space="preserve">キャラ</t>
  </si>
  <si>
    <t xml:space="preserve">イラストレーター</t>
  </si>
  <si>
    <t xml:space="preserve">企画・収録弾
（相関ドライバー）</t>
  </si>
  <si>
    <t xml:space="preserve">絶版</t>
  </si>
  <si>
    <t xml:space="preserve">周年</t>
  </si>
  <si>
    <t xml:space="preserve">仕入日</t>
  </si>
  <si>
    <t xml:space="preserve">仕入値</t>
  </si>
  <si>
    <t xml:space="preserve">現在時価
（想定売却価格）</t>
  </si>
  <si>
    <t xml:space="preserve">ポートフォリオ
比率</t>
  </si>
  <si>
    <t xml:space="preserve">×</t>
  </si>
  <si>
    <t xml:space="preserve">2026-06-15</t>
  </si>
  <si>
    <t xml:space="preserve">2026-07-01</t>
  </si>
  <si>
    <t xml:space="preserve">初期弾</t>
  </si>
  <si>
    <t xml:space="preserve">○</t>
  </si>
  <si>
    <t xml:space="preserve">2026-05-20</t>
  </si>
  <si>
    <t xml:space="preserve">ピカチュウ</t>
  </si>
  <si>
    <t xml:space="preserve">2026-07-10</t>
  </si>
  <si>
    <t xml:space="preserve">2026-04-01</t>
  </si>
  <si>
    <t xml:space="preserve">ダッシュボード</t>
  </si>
  <si>
    <t xml:space="preserve">在庫管理シートを自動集計します。手入力は不要です（すべて数式）。</t>
  </si>
  <si>
    <t xml:space="preserve">■ 資金効率</t>
  </si>
  <si>
    <r>
      <rPr>
        <sz val="10"/>
        <color rgb="FF000000"/>
        <rFont val="WenQuanYi Zen Hei"/>
        <family val="2"/>
      </rPr>
      <t xml:space="preserve">資金倍率（時価 </t>
    </r>
    <r>
      <rPr>
        <sz val="10"/>
        <color rgb="FF000000"/>
        <rFont val="Yu Gothic"/>
        <family val="0"/>
        <charset val="1"/>
      </rPr>
      <t xml:space="preserve">÷ </t>
    </r>
    <r>
      <rPr>
        <sz val="10"/>
        <color rgb="FF000000"/>
        <rFont val="WenQuanYi Zen Hei"/>
        <family val="2"/>
      </rPr>
      <t xml:space="preserve">仕入額）</t>
    </r>
  </si>
  <si>
    <t xml:space="preserve">平均想定売却日数（時価加重）</t>
  </si>
  <si>
    <r>
      <rPr>
        <sz val="10"/>
        <color rgb="FF000000"/>
        <rFont val="WenQuanYi Zen Hei"/>
        <family val="2"/>
      </rPr>
      <t xml:space="preserve">在庫の入れ替わり回数（年間・</t>
    </r>
    <r>
      <rPr>
        <sz val="10"/>
        <color rgb="FF000000"/>
        <rFont val="Yu Gothic"/>
        <family val="0"/>
        <charset val="1"/>
      </rPr>
      <t xml:space="preserve">365</t>
    </r>
    <r>
      <rPr>
        <sz val="10"/>
        <color rgb="FF000000"/>
        <rFont val="WenQuanYi Zen Hei"/>
        <family val="2"/>
      </rPr>
      <t xml:space="preserve">日</t>
    </r>
    <r>
      <rPr>
        <sz val="10"/>
        <color rgb="FF000000"/>
        <rFont val="Yu Gothic"/>
        <family val="0"/>
        <charset val="1"/>
      </rPr>
      <t xml:space="preserve">÷</t>
    </r>
    <r>
      <rPr>
        <sz val="10"/>
        <color rgb="FF000000"/>
        <rFont val="WenQuanYi Zen Hei"/>
        <family val="2"/>
      </rPr>
      <t xml:space="preserve">平均売却日数）</t>
    </r>
  </si>
  <si>
    <t xml:space="preserve">■ 換金のしやすさ</t>
  </si>
  <si>
    <t xml:space="preserve">早く売れる基準以内の在庫比率（時価ベース）</t>
  </si>
  <si>
    <t xml:space="preserve">売れ残りリスクが高い在庫比率（時価ベース）</t>
  </si>
  <si>
    <t xml:space="preserve">回転が速い在庫比率（コア＋回転、時価ベース）</t>
  </si>
  <si>
    <t xml:space="preserve">回転が遅い在庫比率（厳選＋見送り、時価ベース）</t>
  </si>
  <si>
    <r>
      <rPr>
        <b val="true"/>
        <sz val="11"/>
        <color rgb="FF1F4E78"/>
        <rFont val="WenQuanYi Zen Hei"/>
        <family val="2"/>
      </rPr>
      <t xml:space="preserve">■ 偏りリスク分析（特定の銘柄・カテゴリに偏っていないかを確認。数値が大きいほど偏りが大きい。目安：</t>
    </r>
    <r>
      <rPr>
        <b val="true"/>
        <sz val="11"/>
        <color rgb="FF1F4E78"/>
        <rFont val="Yu Gothic"/>
        <family val="0"/>
        <charset val="1"/>
      </rPr>
      <t xml:space="preserve">1,500</t>
    </r>
    <r>
      <rPr>
        <b val="true"/>
        <sz val="11"/>
        <color rgb="FF1F4E78"/>
        <rFont val="WenQuanYi Zen Hei"/>
        <family val="2"/>
      </rPr>
      <t xml:space="preserve">未満</t>
    </r>
    <r>
      <rPr>
        <b val="true"/>
        <sz val="11"/>
        <color rgb="FF1F4E78"/>
        <rFont val="Yu Gothic"/>
        <family val="0"/>
        <charset val="1"/>
      </rPr>
      <t xml:space="preserve">=</t>
    </r>
    <r>
      <rPr>
        <b val="true"/>
        <sz val="11"/>
        <color rgb="FF1F4E78"/>
        <rFont val="WenQuanYi Zen Hei"/>
        <family val="2"/>
      </rPr>
      <t xml:space="preserve">分散／</t>
    </r>
    <r>
      <rPr>
        <b val="true"/>
        <sz val="11"/>
        <color rgb="FF1F4E78"/>
        <rFont val="Yu Gothic"/>
        <family val="0"/>
        <charset val="1"/>
      </rPr>
      <t xml:space="preserve">1,500</t>
    </r>
    <r>
      <rPr>
        <b val="true"/>
        <sz val="11"/>
        <color rgb="FF1F4E78"/>
        <rFont val="WenQuanYi Zen Hei"/>
        <family val="2"/>
      </rPr>
      <t xml:space="preserve">〜</t>
    </r>
    <r>
      <rPr>
        <b val="true"/>
        <sz val="11"/>
        <color rgb="FF1F4E78"/>
        <rFont val="Yu Gothic"/>
        <family val="0"/>
        <charset val="1"/>
      </rPr>
      <t xml:space="preserve">2,500=</t>
    </r>
    <r>
      <rPr>
        <b val="true"/>
        <sz val="11"/>
        <color rgb="FF1F4E78"/>
        <rFont val="WenQuanYi Zen Hei"/>
        <family val="2"/>
      </rPr>
      <t xml:space="preserve">中程度／</t>
    </r>
    <r>
      <rPr>
        <b val="true"/>
        <sz val="11"/>
        <color rgb="FF1F4E78"/>
        <rFont val="Yu Gothic"/>
        <family val="0"/>
        <charset val="1"/>
      </rPr>
      <t xml:space="preserve">2,500</t>
    </r>
    <r>
      <rPr>
        <b val="true"/>
        <sz val="11"/>
        <color rgb="FF1F4E78"/>
        <rFont val="WenQuanYi Zen Hei"/>
        <family val="2"/>
      </rPr>
      <t xml:space="preserve">以上</t>
    </r>
    <r>
      <rPr>
        <b val="true"/>
        <sz val="11"/>
        <color rgb="FF1F4E78"/>
        <rFont val="Yu Gothic"/>
        <family val="0"/>
        <charset val="1"/>
      </rPr>
      <t xml:space="preserve">=</t>
    </r>
    <r>
      <rPr>
        <b val="true"/>
        <sz val="11"/>
        <color rgb="FF1F4E78"/>
        <rFont val="WenQuanYi Zen Hei"/>
        <family val="2"/>
      </rPr>
      <t xml:space="preserve">偏りが大きい）</t>
    </r>
  </si>
  <si>
    <t xml:space="preserve">時価（在庫中）</t>
  </si>
  <si>
    <t xml:space="preserve">構成比</t>
  </si>
  <si>
    <t xml:space="preserve">偏りスコア</t>
  </si>
  <si>
    <t xml:space="preserve">偏りの判定</t>
  </si>
  <si>
    <t xml:space="preserve">その他（未登録キャラ／タグなし）</t>
  </si>
  <si>
    <t xml:space="preserve">その他（未登録／タグなし）</t>
  </si>
  <si>
    <t xml:space="preserve">■ 攻めと守りの評価（資本効率・実効流動性）</t>
  </si>
  <si>
    <r>
      <rPr>
        <i val="true"/>
        <sz val="9"/>
        <color rgb="FF666666"/>
        <rFont val="WenQuanYi Zen Hei"/>
        <family val="2"/>
      </rPr>
      <t xml:space="preserve">利益率</t>
    </r>
    <r>
      <rPr>
        <i val="true"/>
        <sz val="9"/>
        <color rgb="FF666666"/>
        <rFont val="Yu Gothic"/>
        <family val="0"/>
        <charset val="1"/>
      </rPr>
      <t xml:space="preserve">×</t>
    </r>
    <r>
      <rPr>
        <i val="true"/>
        <sz val="9"/>
        <color rgb="FF666666"/>
        <rFont val="WenQuanYi Zen Hei"/>
        <family val="2"/>
      </rPr>
      <t xml:space="preserve">回転率＝「どれだけ稼ぐ力があるか」（攻めの評価・仕入れ優先順位の決定に使用）。流動性</t>
    </r>
    <r>
      <rPr>
        <i val="true"/>
        <sz val="9"/>
        <color rgb="FF666666"/>
        <rFont val="Yu Gothic"/>
        <family val="0"/>
        <charset val="1"/>
      </rPr>
      <t xml:space="preserve">×</t>
    </r>
    <r>
      <rPr>
        <i val="true"/>
        <sz val="9"/>
        <color rgb="FF666666"/>
        <rFont val="WenQuanYi Zen Hei"/>
        <family val="2"/>
      </rPr>
      <t xml:space="preserve">ボラティリティ＝「いざという時に安全に現金化できるか」（守りの評価・ポジションサイズの抑制判断に使用）。</t>
    </r>
  </si>
  <si>
    <r>
      <rPr>
        <sz val="10"/>
        <color rgb="FF000000"/>
        <rFont val="WenQuanYi Zen Hei"/>
        <family val="2"/>
      </rPr>
      <t xml:space="preserve">平均資本効率（利益率</t>
    </r>
    <r>
      <rPr>
        <sz val="10"/>
        <color rgb="FF000000"/>
        <rFont val="Yu Gothic"/>
        <family val="0"/>
        <charset val="1"/>
      </rPr>
      <t xml:space="preserve">×</t>
    </r>
    <r>
      <rPr>
        <sz val="10"/>
        <color rgb="FF000000"/>
        <rFont val="WenQuanYi Zen Hei"/>
        <family val="2"/>
      </rPr>
      <t xml:space="preserve">回転率・時価加重）</t>
    </r>
  </si>
  <si>
    <t xml:space="preserve">平均実効想定売却日数（ボラティリティ考慮・時価加重）</t>
  </si>
  <si>
    <t xml:space="preserve">■ 象限別 枚数構成比（分布傾向のチェック）</t>
  </si>
  <si>
    <t xml:space="preserve">時価ではなく点数（枚数）ベースの構成比。一般的には「コアが薄い層、回転（キャッシュ同等物）が最大ボリューム、厳選（グロース枠）が最少数・最高ボラ、見送り（劣後在庫）は低ボラで少量」という逆ピラミッド型になりやすい。</t>
  </si>
  <si>
    <t xml:space="preserve">点数（在庫中）</t>
  </si>
  <si>
    <t xml:space="preserve">■ 希少性帯別・企画別 偏りリスク（相関ドライバー：収録弾・レアリティ帯・企画単位の集中を確認）</t>
  </si>
  <si>
    <t xml:space="preserve">企画・収録弾</t>
  </si>
</sst>
</file>

<file path=xl/styles.xml><?xml version="1.0" encoding="utf-8"?>
<styleSheet xmlns="http://schemas.openxmlformats.org/spreadsheetml/2006/main">
  <numFmts count="10">
    <numFmt numFmtId="164" formatCode="General"/>
    <numFmt numFmtId="165" formatCode="0\日"/>
    <numFmt numFmtId="166" formatCode="0.0%;[RED]\-0.0%;\-"/>
    <numFmt numFmtId="167" formatCode="0.00"/>
    <numFmt numFmtId="168" formatCode="#,##0;[RED]\-#,##0;\-"/>
    <numFmt numFmtId="169" formatCode="\¥#,##0;[RED]&quot;-¥&quot;#,##0;\-"/>
    <numFmt numFmtId="170" formatCode="0.0\日"/>
    <numFmt numFmtId="171" formatCode="yyyy/mm/dd"/>
    <numFmt numFmtId="172" formatCode="0.00\x"/>
    <numFmt numFmtId="173" formatCode="0"/>
  </numFmts>
  <fonts count="22">
    <font>
      <sz val="11"/>
      <color theme="1"/>
      <name val="Calibri"/>
      <family val="2"/>
      <charset val="1"/>
    </font>
    <font>
      <sz val="10"/>
      <name val="Arial"/>
      <family val="0"/>
    </font>
    <font>
      <sz val="10"/>
      <name val="Arial"/>
      <family val="0"/>
    </font>
    <font>
      <sz val="10"/>
      <name val="Arial"/>
      <family val="0"/>
    </font>
    <font>
      <b val="true"/>
      <sz val="16"/>
      <color rgb="FF1F4E78"/>
      <name val="WenQuanYi Zen Hei"/>
      <family val="2"/>
    </font>
    <font>
      <i val="true"/>
      <sz val="9"/>
      <color rgb="FF666666"/>
      <name val="WenQuanYi Zen Hei"/>
      <family val="2"/>
    </font>
    <font>
      <i val="true"/>
      <sz val="9"/>
      <color rgb="FF666666"/>
      <name val="Yu Gothic"/>
      <family val="0"/>
      <charset val="1"/>
    </font>
    <font>
      <b val="true"/>
      <sz val="11"/>
      <color rgb="FF1F4E78"/>
      <name val="WenQuanYi Zen Hei"/>
      <family val="2"/>
    </font>
    <font>
      <sz val="10"/>
      <color rgb="FF000000"/>
      <name val="WenQuanYi Zen Hei"/>
      <family val="2"/>
    </font>
    <font>
      <sz val="10"/>
      <color rgb="FF000000"/>
      <name val="Yu Gothic"/>
      <family val="0"/>
      <charset val="1"/>
    </font>
    <font>
      <b val="true"/>
      <sz val="11"/>
      <color rgb="FF1F4E78"/>
      <name val="Yu Gothic"/>
      <family val="0"/>
      <charset val="1"/>
    </font>
    <font>
      <sz val="10"/>
      <color rgb="FF0000FF"/>
      <name val="Yu Gothic"/>
      <family val="0"/>
      <charset val="1"/>
    </font>
    <font>
      <b val="true"/>
      <sz val="11"/>
      <color rgb="FFFFFFFF"/>
      <name val="WenQuanYi Zen Hei"/>
      <family val="2"/>
    </font>
    <font>
      <sz val="10"/>
      <color rgb="FF0000FF"/>
      <name val="WenQuanYi Zen Hei"/>
      <family val="2"/>
    </font>
    <font>
      <b val="true"/>
      <sz val="16"/>
      <color rgb="FF1F4E78"/>
      <name val="Yu Gothic"/>
      <family val="0"/>
      <charset val="1"/>
    </font>
    <font>
      <b val="true"/>
      <sz val="11"/>
      <color rgb="FFFFFFFF"/>
      <name val="Yu Gothic"/>
      <family val="0"/>
      <charset val="1"/>
    </font>
    <font>
      <b val="true"/>
      <sz val="10"/>
      <name val="WenQuanYi Zen Hei"/>
      <family val="2"/>
    </font>
    <font>
      <b val="true"/>
      <sz val="10"/>
      <name val="Yu Gothic"/>
      <family val="0"/>
      <charset val="1"/>
    </font>
    <font>
      <sz val="10"/>
      <color rgb="FF008000"/>
      <name val="Yu Gothic"/>
      <family val="0"/>
      <charset val="1"/>
    </font>
    <font>
      <b val="true"/>
      <sz val="18"/>
      <color rgb="FF000000"/>
      <name val="WenQuanYi Zen Hei"/>
      <family val="2"/>
    </font>
    <font>
      <sz val="10"/>
      <color rgb="FF000000"/>
      <name val="Calibri"/>
      <family val="2"/>
    </font>
    <font>
      <b val="true"/>
      <sz val="10"/>
      <color rgb="FF000000"/>
      <name val="WenQuanYi Zen Hei"/>
      <family val="2"/>
    </font>
  </fonts>
  <fills count="5">
    <fill>
      <patternFill patternType="none"/>
    </fill>
    <fill>
      <patternFill patternType="gray125"/>
    </fill>
    <fill>
      <patternFill patternType="solid">
        <fgColor rgb="FFD9E1F2"/>
        <bgColor rgb="FFD9D9D9"/>
      </patternFill>
    </fill>
    <fill>
      <patternFill patternType="solid">
        <fgColor rgb="FFFFF2CC"/>
        <bgColor rgb="FFFFFFFF"/>
      </patternFill>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6" fontId="9" fillId="0" borderId="1" xfId="0" applyFont="true" applyBorder="true" applyAlignment="true" applyProtection="false">
      <alignment horizontal="general" vertical="center" textRotation="0" wrapText="true" indent="0" shrinkToFit="false"/>
      <protection locked="true" hidden="false"/>
    </xf>
    <xf numFmtId="164" fontId="13"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9" fontId="11" fillId="3"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8" fontId="11"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6" fontId="17" fillId="0" borderId="1" xfId="0" applyFont="true" applyBorder="true" applyAlignment="false" applyProtection="false">
      <alignment horizontal="general" vertical="bottom" textRotation="0" wrapText="false" indent="0" shrinkToFit="false"/>
      <protection locked="true" hidden="false"/>
    </xf>
    <xf numFmtId="169" fontId="17"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69" fontId="18" fillId="0" borderId="1" xfId="0" applyFont="true" applyBorder="true" applyAlignment="false" applyProtection="false">
      <alignment horizontal="general" vertical="bottom" textRotation="0" wrapText="false" indent="0" shrinkToFit="false"/>
      <protection locked="true" hidden="false"/>
    </xf>
    <xf numFmtId="166" fontId="18" fillId="0"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73" fontId="9" fillId="0" borderId="1" xfId="0" applyFont="true" applyBorder="true" applyAlignment="false" applyProtection="false">
      <alignment horizontal="general" vertical="bottom" textRotation="0" wrapText="false" indent="0" shrinkToFit="false"/>
      <protection locked="true" hidden="false"/>
    </xf>
    <xf numFmtId="173" fontId="17"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68" fontId="1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9C0006"/>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548235"/>
      <rgbColor rgb="FF800080"/>
      <rgbColor rgb="FF008080"/>
      <rgbColor rgb="FFBFBFBF"/>
      <rgbColor rgb="FF808080"/>
      <rgbColor rgb="FF9999FF"/>
      <rgbColor rgb="FFC0504D"/>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2E75B6"/>
      <rgbColor rgb="FF4BACC6"/>
      <rgbColor rgb="FF9BBB59"/>
      <rgbColor rgb="FFFFCC00"/>
      <rgbColor rgb="FFF79646"/>
      <rgbColor rgb="FFBF8F00"/>
      <rgbColor rgb="FF8064A2"/>
      <rgbColor rgb="FF878787"/>
      <rgbColor rgb="FF003366"/>
      <rgbColor rgb="FF4F81BD"/>
      <rgbColor rgb="FF003300"/>
      <rgbColor rgb="FF333300"/>
      <rgbColor rgb="FF993300"/>
      <rgbColor rgb="FF6666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ポートフォリオ構成（銘柄タイトル別・時価）</a:t>
            </a:r>
          </a:p>
        </c:rich>
      </c:tx>
      <c:overlay val="0"/>
      <c:spPr>
        <a:noFill/>
        <a:ln w="0">
          <a:noFill/>
        </a:ln>
      </c:spPr>
    </c:title>
    <c:autoTitleDeleted val="0"/>
    <c:plotArea>
      <c:pieChart>
        <c:varyColors val="1"/>
        <c:ser>
          <c:idx val="0"/>
          <c:order val="0"/>
          <c:tx>
            <c:strRef>
              <c:f>ダッシュボード!C22</c:f>
              <c:strCache>
                <c:ptCount val="1"/>
                <c:pt idx="0">
                  <c:v>時価（在庫中）</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ダッシュボード!$B$23:$B$28</c:f>
              <c:strCache>
                <c:ptCount val="6"/>
                <c:pt idx="0">
                  <c:v>ポケモンカード</c:v>
                </c:pt>
                <c:pt idx="1">
                  <c:v>ワンピースカード</c:v>
                </c:pt>
                <c:pt idx="2">
                  <c:v>遊戯王</c:v>
                </c:pt>
                <c:pt idx="3">
                  <c:v>デュエル・マスターズ</c:v>
                </c:pt>
                <c:pt idx="4">
                  <c:v>マジック：ザ・ギャザリング</c:v>
                </c:pt>
                <c:pt idx="5">
                  <c:v>その他</c:v>
                </c:pt>
              </c:strCache>
            </c:strRef>
          </c:cat>
          <c:val>
            <c:numRef>
              <c:f>ダッシュボード!$C$23:$C$28</c:f>
              <c:numCache>
                <c:formatCode>\¥#,##0;[RED]"-¥"#,##0;\-</c:formatCode>
                <c:ptCount val="6"/>
                <c:pt idx="0">
                  <c:v>31000</c:v>
                </c:pt>
                <c:pt idx="1">
                  <c:v>18500</c:v>
                </c:pt>
                <c:pt idx="2">
                  <c:v>49000</c:v>
                </c:pt>
                <c:pt idx="3">
                  <c:v>0</c:v>
                </c:pt>
                <c:pt idx="4">
                  <c:v>0</c:v>
                </c:pt>
                <c:pt idx="5">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象限別 時価（在庫中）</a:t>
            </a:r>
          </a:p>
        </c:rich>
      </c:tx>
      <c:overlay val="0"/>
      <c:spPr>
        <a:noFill/>
        <a:ln w="0">
          <a:noFill/>
        </a:ln>
      </c:spPr>
    </c:title>
    <c:autoTitleDeleted val="0"/>
    <c:plotArea>
      <c:barChart>
        <c:barDir val="col"/>
        <c:grouping val="clustered"/>
        <c:varyColors val="0"/>
        <c:ser>
          <c:idx val="0"/>
          <c:order val="0"/>
          <c:tx>
            <c:strRef>
              <c:f>ダッシュボード!H22</c:f>
              <c:strCache>
                <c:ptCount val="1"/>
                <c:pt idx="0">
                  <c:v>時価（在庫中）</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ダッシュボード!$G$23:$G$26</c:f>
              <c:strCache>
                <c:ptCount val="4"/>
                <c:pt idx="0">
                  <c:v>I(コア)</c:v>
                </c:pt>
                <c:pt idx="1">
                  <c:v>II(回転)</c:v>
                </c:pt>
                <c:pt idx="2">
                  <c:v>III(厳選)</c:v>
                </c:pt>
                <c:pt idx="3">
                  <c:v>IV(見送り)</c:v>
                </c:pt>
              </c:strCache>
            </c:strRef>
          </c:cat>
          <c:val>
            <c:numRef>
              <c:f>ダッシュボード!$H$23:$H$26</c:f>
              <c:numCache>
                <c:formatCode>\¥#,##0;[RED]"-¥"#,##0;\-</c:formatCode>
                <c:ptCount val="4"/>
                <c:pt idx="0">
                  <c:v>31000</c:v>
                </c:pt>
                <c:pt idx="1">
                  <c:v>18500</c:v>
                </c:pt>
                <c:pt idx="2">
                  <c:v>49000</c:v>
                </c:pt>
                <c:pt idx="3">
                  <c:v>0</c:v>
                </c:pt>
              </c:numCache>
            </c:numRef>
          </c:val>
        </c:ser>
        <c:gapWidth val="150"/>
        <c:overlap val="0"/>
        <c:axId val="45868910"/>
        <c:axId val="47082872"/>
      </c:barChart>
      <c:catAx>
        <c:axId val="458689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082872"/>
        <c:crosses val="autoZero"/>
        <c:auto val="1"/>
        <c:lblAlgn val="ctr"/>
        <c:lblOffset val="100"/>
        <c:noMultiLvlLbl val="0"/>
      </c:catAx>
      <c:valAx>
        <c:axId val="4708287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時価（円）</a:t>
                </a:r>
              </a:p>
            </c:rich>
          </c:tx>
          <c:overlay val="0"/>
          <c:spPr>
            <a:noFill/>
            <a:ln w="0">
              <a:noFill/>
            </a:ln>
          </c:spPr>
        </c:title>
        <c:numFmt formatCode="\¥#,##0;[RED]&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86891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3</xdr:row>
      <xdr:rowOff>131040</xdr:rowOff>
    </xdr:from>
    <xdr:to>
      <xdr:col>18</xdr:col>
      <xdr:colOff>486720</xdr:colOff>
      <xdr:row>18</xdr:row>
      <xdr:rowOff>153000</xdr:rowOff>
    </xdr:to>
    <xdr:graphicFrame>
      <xdr:nvGraphicFramePr>
        <xdr:cNvPr id="0" name="Chart 1"/>
        <xdr:cNvGraphicFramePr/>
      </xdr:nvGraphicFramePr>
      <xdr:xfrm>
        <a:off x="14490720" y="76212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20</xdr:row>
      <xdr:rowOff>131040</xdr:rowOff>
    </xdr:from>
    <xdr:to>
      <xdr:col>18</xdr:col>
      <xdr:colOff>486720</xdr:colOff>
      <xdr:row>35</xdr:row>
      <xdr:rowOff>153000</xdr:rowOff>
    </xdr:to>
    <xdr:graphicFrame>
      <xdr:nvGraphicFramePr>
        <xdr:cNvPr id="1" name="Chart 2"/>
        <xdr:cNvGraphicFramePr/>
      </xdr:nvGraphicFramePr>
      <xdr:xfrm>
        <a:off x="14490720" y="400068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B2:B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00"/>
  </cols>
  <sheetData>
    <row r="2" customFormat="false" ht="24" hidden="false" customHeight="tru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26.85" hidden="false" customHeight="false" outlineLevel="0" collapsed="false">
      <c r="B6" s="4" t="s">
        <v>3</v>
      </c>
    </row>
    <row r="7" customFormat="false" ht="15" hidden="false" customHeight="false" outlineLevel="0" collapsed="false">
      <c r="B7" s="4" t="s">
        <v>4</v>
      </c>
    </row>
    <row r="8" customFormat="false" ht="15" hidden="false" customHeight="false" outlineLevel="0" collapsed="false">
      <c r="B8" s="4" t="s">
        <v>5</v>
      </c>
    </row>
    <row r="9" customFormat="false" ht="26.85" hidden="false" customHeight="false" outlineLevel="0" collapsed="false">
      <c r="B9" s="4" t="s">
        <v>6</v>
      </c>
    </row>
    <row r="10" customFormat="false" ht="15" hidden="false" customHeight="false" outlineLevel="0" collapsed="false">
      <c r="B10" s="4" t="s">
        <v>7</v>
      </c>
    </row>
    <row r="11" customFormat="false" ht="15" hidden="false" customHeight="false" outlineLevel="0" collapsed="false">
      <c r="B11" s="5" t="s">
        <v>8</v>
      </c>
    </row>
    <row r="12" customFormat="false" ht="26.85" hidden="false" customHeight="false" outlineLevel="0" collapsed="false">
      <c r="B12" s="4" t="s">
        <v>9</v>
      </c>
    </row>
    <row r="13" customFormat="false" ht="26.85" hidden="false" customHeight="false" outlineLevel="0" collapsed="false">
      <c r="B13" s="4" t="s">
        <v>10</v>
      </c>
    </row>
    <row r="14" customFormat="false" ht="15" hidden="false" customHeight="false" outlineLevel="0" collapsed="false">
      <c r="B14" s="3" t="s">
        <v>11</v>
      </c>
    </row>
    <row r="15" customFormat="false" ht="15" hidden="false" customHeight="false" outlineLevel="0" collapsed="false">
      <c r="B15" s="4" t="s">
        <v>12</v>
      </c>
    </row>
    <row r="16" customFormat="false" ht="15" hidden="false" customHeight="false" outlineLevel="0" collapsed="false">
      <c r="B16" s="4" t="s">
        <v>13</v>
      </c>
    </row>
    <row r="17" customFormat="false" ht="15" hidden="false" customHeight="false" outlineLevel="0" collapsed="false">
      <c r="B17" s="4" t="s">
        <v>14</v>
      </c>
    </row>
    <row r="18" customFormat="false" ht="15" hidden="false" customHeight="false" outlineLevel="0" collapsed="false">
      <c r="B18" s="4" t="s">
        <v>15</v>
      </c>
    </row>
    <row r="19" customFormat="false" ht="15" hidden="false" customHeight="false" outlineLevel="0" collapsed="false">
      <c r="B19" s="3" t="s">
        <v>16</v>
      </c>
    </row>
    <row r="20" customFormat="false" ht="15" hidden="false" customHeight="false" outlineLevel="0" collapsed="false">
      <c r="B20" s="4" t="s">
        <v>17</v>
      </c>
    </row>
    <row r="21" customFormat="false" ht="15" hidden="false" customHeight="false" outlineLevel="0" collapsed="false">
      <c r="B21" s="4" t="s">
        <v>18</v>
      </c>
    </row>
    <row r="22" customFormat="false" ht="15" hidden="false" customHeight="false" outlineLevel="0" collapsed="false">
      <c r="B22" s="4" t="s">
        <v>19</v>
      </c>
    </row>
    <row r="23" customFormat="false" ht="15" hidden="false" customHeight="false" outlineLevel="0" collapsed="false">
      <c r="B23" s="4" t="s">
        <v>20</v>
      </c>
    </row>
    <row r="24" customFormat="false" ht="15" hidden="false" customHeight="false" outlineLevel="0" collapsed="false">
      <c r="B24" s="4" t="s">
        <v>21</v>
      </c>
    </row>
    <row r="25" customFormat="false" ht="15" hidden="false" customHeight="false" outlineLevel="0" collapsed="false">
      <c r="B25" s="3" t="s">
        <v>22</v>
      </c>
    </row>
    <row r="26" customFormat="false" ht="15" hidden="false" customHeight="false" outlineLevel="0" collapsed="false">
      <c r="B26" s="4" t="s">
        <v>23</v>
      </c>
    </row>
    <row r="27" customFormat="false" ht="26.85" hidden="false" customHeight="false" outlineLevel="0" collapsed="false">
      <c r="B27" s="4" t="s">
        <v>24</v>
      </c>
    </row>
    <row r="28" customFormat="false" ht="26.85" hidden="false" customHeight="false" outlineLevel="0" collapsed="false">
      <c r="B28" s="4" t="s">
        <v>25</v>
      </c>
    </row>
    <row r="29" customFormat="false" ht="26.85" hidden="false" customHeight="false" outlineLevel="0" collapsed="false">
      <c r="B29" s="4" t="s">
        <v>26</v>
      </c>
    </row>
    <row r="30" customFormat="false" ht="39.55" hidden="false" customHeight="false" outlineLevel="0" collapsed="false">
      <c r="B30" s="4" t="s">
        <v>27</v>
      </c>
    </row>
    <row r="31" customFormat="false" ht="26.85" hidden="false" customHeight="false" outlineLevel="0" collapsed="false">
      <c r="B31" s="4" t="s">
        <v>28</v>
      </c>
    </row>
    <row r="32" customFormat="false" ht="15" hidden="false" customHeight="false" outlineLevel="0" collapsed="false">
      <c r="B32" s="3" t="s">
        <v>29</v>
      </c>
    </row>
    <row r="33" customFormat="false" ht="15" hidden="false" customHeight="false" outlineLevel="0" collapsed="false">
      <c r="B33" s="4" t="s">
        <v>30</v>
      </c>
    </row>
    <row r="34" customFormat="false" ht="26.85" hidden="false" customHeight="false" outlineLevel="0" collapsed="false">
      <c r="B34" s="4" t="s">
        <v>31</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B2:G1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4" min="3" style="0" width="16"/>
    <col collapsed="false" customWidth="true" hidden="false" outlineLevel="0" max="5" min="5" style="0" width="40"/>
    <col collapsed="false" customWidth="true" hidden="false" outlineLevel="0" max="6" min="6" style="0" width="20"/>
    <col collapsed="false" customWidth="true" hidden="false" outlineLevel="0" max="7" min="7" style="0" width="14"/>
  </cols>
  <sheetData>
    <row r="2" customFormat="false" ht="19.7" hidden="false" customHeight="false" outlineLevel="0" collapsed="false">
      <c r="B2" s="1" t="s">
        <v>32</v>
      </c>
    </row>
    <row r="3" customFormat="false" ht="15" hidden="false" customHeight="false" outlineLevel="0" collapsed="false">
      <c r="B3" s="6" t="s">
        <v>33</v>
      </c>
    </row>
    <row r="5" customFormat="false" ht="15" hidden="false" customHeight="false" outlineLevel="0" collapsed="false">
      <c r="B5" s="5" t="s">
        <v>34</v>
      </c>
    </row>
    <row r="6" customFormat="false" ht="15" hidden="false" customHeight="false" outlineLevel="0" collapsed="false">
      <c r="B6" s="7" t="s">
        <v>35</v>
      </c>
      <c r="C6" s="8" t="n">
        <v>30</v>
      </c>
    </row>
    <row r="7" customFormat="false" ht="15" hidden="false" customHeight="false" outlineLevel="0" collapsed="false">
      <c r="B7" s="7" t="s">
        <v>36</v>
      </c>
      <c r="C7" s="9" t="n">
        <v>0.2</v>
      </c>
    </row>
    <row r="8" customFormat="false" ht="15" hidden="false" customHeight="false" outlineLevel="0" collapsed="false">
      <c r="B8" s="7" t="s">
        <v>37</v>
      </c>
      <c r="C8" s="8" t="n">
        <v>90</v>
      </c>
    </row>
    <row r="9" customFormat="false" ht="15" hidden="false" customHeight="false" outlineLevel="0" collapsed="false">
      <c r="B9" s="2" t="s">
        <v>38</v>
      </c>
    </row>
    <row r="11" customFormat="false" ht="15" hidden="false" customHeight="false" outlineLevel="0" collapsed="false">
      <c r="B11" s="5" t="s">
        <v>39</v>
      </c>
    </row>
    <row r="12" customFormat="false" ht="28.35" hidden="false" customHeight="false" outlineLevel="0" collapsed="false">
      <c r="B12" s="10" t="s">
        <v>40</v>
      </c>
      <c r="C12" s="10" t="s">
        <v>41</v>
      </c>
      <c r="D12" s="10" t="s">
        <v>42</v>
      </c>
      <c r="E12" s="10" t="s">
        <v>43</v>
      </c>
      <c r="F12" s="10" t="s">
        <v>44</v>
      </c>
      <c r="G12" s="10" t="s">
        <v>45</v>
      </c>
    </row>
    <row r="13" customFormat="false" ht="15" hidden="false" customHeight="false" outlineLevel="0" collapsed="false">
      <c r="B13" s="11" t="s">
        <v>46</v>
      </c>
      <c r="C13" s="12" t="s">
        <v>47</v>
      </c>
      <c r="D13" s="12" t="s">
        <v>48</v>
      </c>
      <c r="E13" s="12" t="s">
        <v>49</v>
      </c>
      <c r="F13" s="12" t="s">
        <v>50</v>
      </c>
      <c r="G13" s="13" t="n">
        <v>0.55</v>
      </c>
    </row>
    <row r="14" customFormat="false" ht="26.85" hidden="false" customHeight="false" outlineLevel="0" collapsed="false">
      <c r="B14" s="11" t="s">
        <v>51</v>
      </c>
      <c r="C14" s="12" t="s">
        <v>47</v>
      </c>
      <c r="D14" s="12" t="s">
        <v>52</v>
      </c>
      <c r="E14" s="12" t="s">
        <v>53</v>
      </c>
      <c r="F14" s="12" t="s">
        <v>54</v>
      </c>
      <c r="G14" s="13" t="n">
        <v>0.2</v>
      </c>
    </row>
    <row r="15" customFormat="false" ht="15" hidden="false" customHeight="false" outlineLevel="0" collapsed="false">
      <c r="B15" s="11" t="s">
        <v>55</v>
      </c>
      <c r="C15" s="12" t="s">
        <v>56</v>
      </c>
      <c r="D15" s="12" t="s">
        <v>48</v>
      </c>
      <c r="E15" s="12" t="s">
        <v>57</v>
      </c>
      <c r="F15" s="12" t="s">
        <v>58</v>
      </c>
      <c r="G15" s="13" t="n">
        <v>0.2</v>
      </c>
    </row>
    <row r="16" customFormat="false" ht="15" hidden="false" customHeight="false" outlineLevel="0" collapsed="false">
      <c r="B16" s="11" t="s">
        <v>59</v>
      </c>
      <c r="C16" s="12" t="s">
        <v>56</v>
      </c>
      <c r="D16" s="12" t="s">
        <v>52</v>
      </c>
      <c r="E16" s="12" t="s">
        <v>60</v>
      </c>
      <c r="F16" s="12" t="s">
        <v>61</v>
      </c>
      <c r="G16" s="13" t="n">
        <v>0.05</v>
      </c>
    </row>
    <row r="17" customFormat="false" ht="15" hidden="false" customHeight="false" outlineLevel="0" collapsed="false">
      <c r="B17" s="2" t="s">
        <v>62</v>
      </c>
    </row>
    <row r="18" customFormat="false" ht="15" hidden="false" customHeight="false" outlineLevel="0" collapsed="false">
      <c r="B18" s="3" t="s">
        <v>63</v>
      </c>
    </row>
    <row r="19" customFormat="false" ht="15" hidden="false" customHeight="false" outlineLevel="0" collapsed="false">
      <c r="B19" s="10" t="s">
        <v>64</v>
      </c>
    </row>
    <row r="20" customFormat="false" ht="15" hidden="false" customHeight="false" outlineLevel="0" collapsed="false">
      <c r="B20" s="14" t="s">
        <v>65</v>
      </c>
    </row>
    <row r="21" customFormat="false" ht="15" hidden="false" customHeight="false" outlineLevel="0" collapsed="false">
      <c r="B21" s="14" t="s">
        <v>66</v>
      </c>
    </row>
    <row r="22" customFormat="false" ht="15" hidden="false" customHeight="false" outlineLevel="0" collapsed="false">
      <c r="B22" s="14" t="s">
        <v>67</v>
      </c>
    </row>
    <row r="23" customFormat="false" ht="15" hidden="false" customHeight="false" outlineLevel="0" collapsed="false">
      <c r="B23" s="14" t="s">
        <v>68</v>
      </c>
    </row>
    <row r="24" customFormat="false" ht="15" hidden="false" customHeight="false" outlineLevel="0" collapsed="false">
      <c r="B24" s="14" t="s">
        <v>69</v>
      </c>
    </row>
    <row r="25" customFormat="false" ht="15" hidden="false" customHeight="false" outlineLevel="0" collapsed="false">
      <c r="B25" s="14" t="s">
        <v>70</v>
      </c>
    </row>
    <row r="27" customFormat="false" ht="15" hidden="false" customHeight="false" outlineLevel="0" collapsed="false">
      <c r="B27" s="3" t="s">
        <v>71</v>
      </c>
    </row>
    <row r="28" customFormat="false" ht="15" hidden="false" customHeight="false" outlineLevel="0" collapsed="false">
      <c r="B28" s="10" t="s">
        <v>72</v>
      </c>
    </row>
    <row r="29" customFormat="false" ht="15" hidden="false" customHeight="false" outlineLevel="0" collapsed="false">
      <c r="B29" s="15" t="s">
        <v>73</v>
      </c>
    </row>
    <row r="30" customFormat="false" ht="15" hidden="false" customHeight="false" outlineLevel="0" collapsed="false">
      <c r="B30" s="15" t="s">
        <v>74</v>
      </c>
    </row>
    <row r="31" customFormat="false" ht="15" hidden="false" customHeight="false" outlineLevel="0" collapsed="false">
      <c r="B31" s="15" t="s">
        <v>75</v>
      </c>
    </row>
    <row r="32" customFormat="false" ht="15" hidden="false" customHeight="false" outlineLevel="0" collapsed="false">
      <c r="B32" s="15" t="s">
        <v>76</v>
      </c>
    </row>
    <row r="33" customFormat="false" ht="15" hidden="false" customHeight="false" outlineLevel="0" collapsed="false">
      <c r="B33" s="15" t="s">
        <v>77</v>
      </c>
    </row>
    <row r="35" customFormat="false" ht="15" hidden="false" customHeight="false" outlineLevel="0" collapsed="false">
      <c r="B35" s="3" t="s">
        <v>78</v>
      </c>
    </row>
    <row r="36" customFormat="false" ht="15" hidden="false" customHeight="false" outlineLevel="0" collapsed="false">
      <c r="B36" s="10" t="s">
        <v>79</v>
      </c>
    </row>
    <row r="37" customFormat="false" ht="15" hidden="false" customHeight="false" outlineLevel="0" collapsed="false">
      <c r="B37" s="14" t="s">
        <v>80</v>
      </c>
    </row>
    <row r="38" customFormat="false" ht="15" hidden="false" customHeight="false" outlineLevel="0" collapsed="false">
      <c r="B38" s="14" t="s">
        <v>81</v>
      </c>
    </row>
    <row r="39" customFormat="false" ht="15" hidden="false" customHeight="false" outlineLevel="0" collapsed="false">
      <c r="B39" s="14" t="s">
        <v>82</v>
      </c>
    </row>
    <row r="41" customFormat="false" ht="15" hidden="false" customHeight="false" outlineLevel="0" collapsed="false">
      <c r="B41" s="3" t="s">
        <v>83</v>
      </c>
    </row>
    <row r="42" customFormat="false" ht="15" hidden="false" customHeight="false" outlineLevel="0" collapsed="false">
      <c r="B42" s="10" t="s">
        <v>84</v>
      </c>
      <c r="C42" s="10" t="s">
        <v>85</v>
      </c>
    </row>
    <row r="43" customFormat="false" ht="15" hidden="false" customHeight="false" outlineLevel="0" collapsed="false">
      <c r="B43" s="14" t="s">
        <v>86</v>
      </c>
      <c r="C43" s="16" t="n">
        <v>1.5</v>
      </c>
    </row>
    <row r="44" customFormat="false" ht="15" hidden="false" customHeight="false" outlineLevel="0" collapsed="false">
      <c r="B44" s="14" t="s">
        <v>87</v>
      </c>
      <c r="C44" s="16" t="n">
        <v>1.2</v>
      </c>
    </row>
    <row r="45" customFormat="false" ht="15" hidden="false" customHeight="false" outlineLevel="0" collapsed="false">
      <c r="B45" s="14" t="s">
        <v>88</v>
      </c>
      <c r="C45" s="16" t="n">
        <v>1</v>
      </c>
    </row>
    <row r="46" customFormat="false" ht="15" hidden="false" customHeight="false" outlineLevel="0" collapsed="false">
      <c r="B46" s="2" t="s">
        <v>89</v>
      </c>
    </row>
    <row r="47" customFormat="false" ht="15" hidden="false" customHeight="false" outlineLevel="0" collapsed="false">
      <c r="B47" s="3" t="s">
        <v>90</v>
      </c>
    </row>
    <row r="48" customFormat="false" ht="15" hidden="false" customHeight="false" outlineLevel="0" collapsed="false">
      <c r="B48" s="10" t="s">
        <v>91</v>
      </c>
    </row>
    <row r="49" customFormat="false" ht="15" hidden="false" customHeight="false" outlineLevel="0" collapsed="false">
      <c r="B49" s="14" t="s">
        <v>92</v>
      </c>
    </row>
    <row r="50" customFormat="false" ht="15" hidden="false" customHeight="false" outlineLevel="0" collapsed="false">
      <c r="B50" s="14" t="s">
        <v>93</v>
      </c>
    </row>
    <row r="51" customFormat="false" ht="15" hidden="false" customHeight="false" outlineLevel="0" collapsed="false">
      <c r="B51" s="14" t="s">
        <v>94</v>
      </c>
    </row>
    <row r="53" customFormat="false" ht="15" hidden="false" customHeight="false" outlineLevel="0" collapsed="false">
      <c r="B53" s="3" t="s">
        <v>95</v>
      </c>
    </row>
    <row r="54" customFormat="false" ht="15" hidden="false" customHeight="false" outlineLevel="0" collapsed="false">
      <c r="B54" s="10" t="s">
        <v>96</v>
      </c>
    </row>
    <row r="55" customFormat="false" ht="15" hidden="false" customHeight="false" outlineLevel="0" collapsed="false">
      <c r="B55" s="14" t="s">
        <v>97</v>
      </c>
    </row>
    <row r="56" customFormat="false" ht="15" hidden="false" customHeight="false" outlineLevel="0" collapsed="false">
      <c r="B56" s="14" t="s">
        <v>98</v>
      </c>
    </row>
    <row r="57" customFormat="false" ht="15" hidden="false" customHeight="false" outlineLevel="0" collapsed="false">
      <c r="B57" s="14" t="s">
        <v>99</v>
      </c>
    </row>
    <row r="58" customFormat="false" ht="15" hidden="false" customHeight="false" outlineLevel="0" collapsed="false">
      <c r="B58" s="15"/>
    </row>
    <row r="59" customFormat="false" ht="15" hidden="false" customHeight="false" outlineLevel="0" collapsed="false">
      <c r="B59" s="15"/>
    </row>
    <row r="60" customFormat="false" ht="15" hidden="false" customHeight="false" outlineLevel="0" collapsed="false">
      <c r="B60" s="15"/>
    </row>
    <row r="61" customFormat="false" ht="15" hidden="false" customHeight="false" outlineLevel="0" collapsed="false">
      <c r="B61" s="15"/>
    </row>
    <row r="62" customFormat="false" ht="15" hidden="false" customHeight="false" outlineLevel="0" collapsed="false">
      <c r="B62" s="15"/>
    </row>
    <row r="63" customFormat="false" ht="15" hidden="false" customHeight="false" outlineLevel="0" collapsed="false">
      <c r="B63" s="15"/>
    </row>
    <row r="64" customFormat="false" ht="15" hidden="false" customHeight="false" outlineLevel="0" collapsed="false">
      <c r="B64" s="15"/>
    </row>
    <row r="65" customFormat="false" ht="15" hidden="false" customHeight="false" outlineLevel="0" collapsed="false">
      <c r="B65" s="15"/>
    </row>
    <row r="66" customFormat="false" ht="15" hidden="false" customHeight="false" outlineLevel="0" collapsed="false">
      <c r="B66" s="15"/>
    </row>
    <row r="67" customFormat="false" ht="15" hidden="false" customHeight="false" outlineLevel="0" collapsed="false">
      <c r="B67" s="15"/>
    </row>
    <row r="68" customFormat="false" ht="15" hidden="false" customHeight="false" outlineLevel="0" collapsed="false">
      <c r="B68" s="15"/>
    </row>
    <row r="69" customFormat="false" ht="15" hidden="false" customHeight="false" outlineLevel="0" collapsed="false">
      <c r="B69" s="15"/>
    </row>
    <row r="70" customFormat="false" ht="15" hidden="false" customHeight="false" outlineLevel="0" collapsed="false">
      <c r="B70" s="15"/>
    </row>
    <row r="71" customFormat="false" ht="15" hidden="false" customHeight="false" outlineLevel="0" collapsed="false">
      <c r="B71" s="15"/>
    </row>
    <row r="72" customFormat="false" ht="15" hidden="false" customHeight="false" outlineLevel="0" collapsed="false">
      <c r="B72" s="15"/>
    </row>
    <row r="73" customFormat="false" ht="15" hidden="false" customHeight="false" outlineLevel="0" collapsed="false">
      <c r="B73" s="15"/>
    </row>
    <row r="74" customFormat="false" ht="15" hidden="false" customHeight="false" outlineLevel="0" collapsed="false">
      <c r="B74" s="15"/>
    </row>
    <row r="76" customFormat="false" ht="15" hidden="false" customHeight="false" outlineLevel="0" collapsed="false">
      <c r="B76" s="3" t="s">
        <v>100</v>
      </c>
    </row>
    <row r="77" customFormat="false" ht="15" hidden="false" customHeight="false" outlineLevel="0" collapsed="false">
      <c r="B77" s="10" t="s">
        <v>101</v>
      </c>
    </row>
    <row r="78" customFormat="false" ht="15" hidden="false" customHeight="false" outlineLevel="0" collapsed="false">
      <c r="B78" s="14" t="s">
        <v>102</v>
      </c>
    </row>
    <row r="79" customFormat="false" ht="15" hidden="false" customHeight="false" outlineLevel="0" collapsed="false">
      <c r="B79" s="14" t="s">
        <v>103</v>
      </c>
    </row>
    <row r="80" customFormat="false" ht="15" hidden="false" customHeight="false" outlineLevel="0" collapsed="false">
      <c r="B80" s="15"/>
    </row>
    <row r="81" customFormat="false" ht="15" hidden="false" customHeight="false" outlineLevel="0" collapsed="false">
      <c r="B81" s="15"/>
    </row>
    <row r="82" customFormat="false" ht="15" hidden="false" customHeight="false" outlineLevel="0" collapsed="false">
      <c r="B82" s="15"/>
    </row>
    <row r="83" customFormat="false" ht="15" hidden="false" customHeight="false" outlineLevel="0" collapsed="false">
      <c r="B83" s="15"/>
    </row>
    <row r="84" customFormat="false" ht="15" hidden="false" customHeight="false" outlineLevel="0" collapsed="false">
      <c r="B84" s="15"/>
    </row>
    <row r="85" customFormat="false" ht="15" hidden="false" customHeight="false" outlineLevel="0" collapsed="false">
      <c r="B85" s="15"/>
    </row>
    <row r="86" customFormat="false" ht="15" hidden="false" customHeight="false" outlineLevel="0" collapsed="false">
      <c r="B86" s="15"/>
    </row>
    <row r="87" customFormat="false" ht="15" hidden="false" customHeight="false" outlineLevel="0" collapsed="false">
      <c r="B87" s="15"/>
    </row>
    <row r="88" customFormat="false" ht="15" hidden="false" customHeight="false" outlineLevel="0" collapsed="false">
      <c r="B88" s="15"/>
    </row>
    <row r="89" customFormat="false" ht="15" hidden="false" customHeight="false" outlineLevel="0" collapsed="false">
      <c r="B89" s="15"/>
    </row>
    <row r="90" customFormat="false" ht="15" hidden="false" customHeight="false" outlineLevel="0" collapsed="false">
      <c r="B90" s="15"/>
    </row>
    <row r="91" customFormat="false" ht="15" hidden="false" customHeight="false" outlineLevel="0" collapsed="false">
      <c r="B91" s="15"/>
    </row>
    <row r="92" customFormat="false" ht="15" hidden="false" customHeight="false" outlineLevel="0" collapsed="false">
      <c r="B92" s="15"/>
    </row>
    <row r="93" customFormat="false" ht="15" hidden="false" customHeight="false" outlineLevel="0" collapsed="false">
      <c r="B93" s="15"/>
    </row>
    <row r="94" customFormat="false" ht="15" hidden="false" customHeight="false" outlineLevel="0" collapsed="false">
      <c r="B94" s="15"/>
    </row>
    <row r="95" customFormat="false" ht="15" hidden="false" customHeight="false" outlineLevel="0" collapsed="false">
      <c r="B95" s="15"/>
    </row>
    <row r="96" customFormat="false" ht="15" hidden="false" customHeight="false" outlineLevel="0" collapsed="false">
      <c r="B96" s="15"/>
    </row>
    <row r="97" customFormat="false" ht="15" hidden="false" customHeight="false" outlineLevel="0" collapsed="false">
      <c r="B97" s="15"/>
    </row>
    <row r="100" customFormat="false" ht="15" hidden="false" customHeight="false" outlineLevel="0" collapsed="false">
      <c r="B100" s="3" t="s">
        <v>104</v>
      </c>
    </row>
    <row r="101" customFormat="false" ht="15" hidden="false" customHeight="false" outlineLevel="0" collapsed="false">
      <c r="B101" s="10" t="s">
        <v>105</v>
      </c>
    </row>
    <row r="102" customFormat="false" ht="15" hidden="false" customHeight="false" outlineLevel="0" collapsed="false">
      <c r="B102" s="14" t="s">
        <v>106</v>
      </c>
    </row>
    <row r="103" customFormat="false" ht="15" hidden="false" customHeight="false" outlineLevel="0" collapsed="false">
      <c r="B103" s="15" t="s">
        <v>107</v>
      </c>
    </row>
    <row r="104" customFormat="false" ht="15" hidden="false" customHeight="false" outlineLevel="0" collapsed="false">
      <c r="B104" s="15" t="s">
        <v>108</v>
      </c>
    </row>
    <row r="105" customFormat="false" ht="15" hidden="false" customHeight="false" outlineLevel="0" collapsed="false">
      <c r="B105" s="15"/>
    </row>
    <row r="106" customFormat="false" ht="15" hidden="false" customHeight="false" outlineLevel="0" collapsed="false">
      <c r="B106" s="15"/>
    </row>
    <row r="107" customFormat="false" ht="15" hidden="false" customHeight="false" outlineLevel="0" collapsed="false">
      <c r="B107" s="15"/>
    </row>
    <row r="108" customFormat="false" ht="15" hidden="false" customHeight="false" outlineLevel="0" collapsed="false">
      <c r="B108" s="15"/>
    </row>
    <row r="109" customFormat="false" ht="15" hidden="false" customHeight="false" outlineLevel="0" collapsed="false">
      <c r="B109" s="15"/>
    </row>
    <row r="110" customFormat="false" ht="15" hidden="false" customHeight="false" outlineLevel="0" collapsed="false">
      <c r="B110" s="15"/>
    </row>
    <row r="111" customFormat="false" ht="15" hidden="false" customHeight="false" outlineLevel="0" collapsed="false">
      <c r="B111" s="15"/>
    </row>
    <row r="112" customFormat="false" ht="15" hidden="false" customHeight="false" outlineLevel="0" collapsed="false">
      <c r="B112" s="15"/>
    </row>
    <row r="113" customFormat="false" ht="15" hidden="false" customHeight="false" outlineLevel="0" collapsed="false">
      <c r="B113" s="15"/>
    </row>
    <row r="114" customFormat="false" ht="15" hidden="false" customHeight="false" outlineLevel="0" collapsed="false">
      <c r="B114" s="15"/>
    </row>
    <row r="115" customFormat="false" ht="15" hidden="false" customHeight="false" outlineLevel="0" collapsed="false">
      <c r="B115" s="15"/>
    </row>
    <row r="116" customFormat="false" ht="15" hidden="false" customHeight="false" outlineLevel="0" collapsed="false">
      <c r="B116" s="15"/>
    </row>
    <row r="117" customFormat="false" ht="15" hidden="false" customHeight="false" outlineLevel="0" collapsed="false">
      <c r="B117" s="15"/>
    </row>
    <row r="118" customFormat="false" ht="15" hidden="false" customHeight="false" outlineLevel="0" collapsed="false">
      <c r="B118" s="15"/>
    </row>
    <row r="119" customFormat="false" ht="15" hidden="false" customHeight="false" outlineLevel="0" collapsed="false">
      <c r="B119" s="15"/>
    </row>
    <row r="120" customFormat="false" ht="15" hidden="false" customHeight="false" outlineLevel="0" collapsed="false">
      <c r="B120" s="15"/>
    </row>
    <row r="121" customFormat="false" ht="15" hidden="false" customHeight="false" outlineLevel="0" collapsed="false">
      <c r="B121" s="15"/>
    </row>
    <row r="123" customFormat="false" ht="15" hidden="false" customHeight="false" outlineLevel="0" collapsed="false">
      <c r="B123" s="2" t="s">
        <v>109</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2:R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6"/>
    <col collapsed="false" customWidth="true" hidden="false" outlineLevel="0" max="5" min="4" style="0" width="10"/>
    <col collapsed="false" customWidth="true" hidden="false" outlineLevel="0" max="6" min="6" style="0" width="12"/>
    <col collapsed="false" customWidth="true" hidden="false" outlineLevel="0" max="7" min="7" style="0" width="13"/>
    <col collapsed="false" customWidth="true" hidden="false" outlineLevel="0" max="10" min="8" style="0" width="12"/>
    <col collapsed="false" customWidth="true" hidden="false" outlineLevel="0" max="11" min="11" style="0" width="14"/>
    <col collapsed="false" customWidth="true" hidden="false" outlineLevel="0" max="14" min="12" style="0" width="12"/>
    <col collapsed="false" customWidth="true" hidden="false" outlineLevel="0" max="15" min="15" style="0" width="14"/>
    <col collapsed="false" customWidth="true" hidden="false" outlineLevel="0" max="16" min="16" style="0" width="12"/>
    <col collapsed="false" customWidth="true" hidden="false" outlineLevel="0" max="17" min="17" style="0" width="16"/>
    <col collapsed="false" customWidth="true" hidden="false" outlineLevel="0" max="18" min="18" style="0" width="24"/>
  </cols>
  <sheetData>
    <row r="2" customFormat="false" ht="20.85" hidden="false" customHeight="false" outlineLevel="0" collapsed="false">
      <c r="B2" s="1" t="s">
        <v>110</v>
      </c>
    </row>
    <row r="3" customFormat="false" ht="15" hidden="false" customHeight="false" outlineLevel="0" collapsed="false">
      <c r="B3" s="2" t="s">
        <v>111</v>
      </c>
    </row>
    <row r="5" customFormat="false" ht="15" hidden="false" customHeight="false" outlineLevel="0" collapsed="false">
      <c r="B5" s="3" t="s">
        <v>112</v>
      </c>
    </row>
    <row r="6" customFormat="false" ht="15" hidden="false" customHeight="false" outlineLevel="0" collapsed="false">
      <c r="B6" s="17" t="s">
        <v>113</v>
      </c>
      <c r="C6" s="18" t="n">
        <f aca="false">COUNTIF(P13:P112,"I(コア)")</f>
        <v>2</v>
      </c>
    </row>
    <row r="7" customFormat="false" ht="15" hidden="false" customHeight="false" outlineLevel="0" collapsed="false">
      <c r="B7" s="17" t="s">
        <v>114</v>
      </c>
      <c r="C7" s="18" t="n">
        <f aca="false">COUNTIF(P13:P112,"II(回転)")</f>
        <v>1</v>
      </c>
    </row>
    <row r="8" customFormat="false" ht="15" hidden="false" customHeight="false" outlineLevel="0" collapsed="false">
      <c r="B8" s="17" t="s">
        <v>115</v>
      </c>
      <c r="C8" s="18" t="n">
        <f aca="false">COUNTIF(P13:P112,"III(厳選)")</f>
        <v>2</v>
      </c>
    </row>
    <row r="9" customFormat="false" ht="15" hidden="false" customHeight="false" outlineLevel="0" collapsed="false">
      <c r="B9" s="17" t="s">
        <v>116</v>
      </c>
      <c r="C9" s="18" t="n">
        <f aca="false">COUNTIF(P13:P112,"IV(見送り)")</f>
        <v>1</v>
      </c>
    </row>
    <row r="12" customFormat="false" ht="41.75" hidden="false" customHeight="false" outlineLevel="0" collapsed="false">
      <c r="A12" s="19" t="s">
        <v>117</v>
      </c>
      <c r="B12" s="10" t="s">
        <v>118</v>
      </c>
      <c r="C12" s="10" t="s">
        <v>64</v>
      </c>
      <c r="D12" s="10" t="s">
        <v>72</v>
      </c>
      <c r="E12" s="10" t="s">
        <v>79</v>
      </c>
      <c r="F12" s="10" t="s">
        <v>84</v>
      </c>
      <c r="G12" s="10" t="s">
        <v>119</v>
      </c>
      <c r="H12" s="10" t="s">
        <v>120</v>
      </c>
      <c r="I12" s="10" t="s">
        <v>121</v>
      </c>
      <c r="J12" s="10" t="s">
        <v>122</v>
      </c>
      <c r="K12" s="10" t="s">
        <v>123</v>
      </c>
      <c r="L12" s="10" t="s">
        <v>124</v>
      </c>
      <c r="M12" s="10" t="s">
        <v>125</v>
      </c>
      <c r="N12" s="10" t="s">
        <v>126</v>
      </c>
      <c r="O12" s="10" t="s">
        <v>127</v>
      </c>
      <c r="P12" s="10" t="s">
        <v>128</v>
      </c>
      <c r="Q12" s="10" t="s">
        <v>129</v>
      </c>
      <c r="R12" s="10" t="s">
        <v>130</v>
      </c>
    </row>
    <row r="13" customFormat="false" ht="15" hidden="false" customHeight="false" outlineLevel="0" collapsed="false">
      <c r="A13" s="18" t="n">
        <f aca="false">IF(B13="","",ROW()-12)</f>
        <v>1</v>
      </c>
      <c r="B13" s="20" t="s">
        <v>131</v>
      </c>
      <c r="C13" s="20" t="s">
        <v>65</v>
      </c>
      <c r="D13" s="21" t="s">
        <v>73</v>
      </c>
      <c r="E13" s="20" t="s">
        <v>80</v>
      </c>
      <c r="F13" s="20" t="s">
        <v>88</v>
      </c>
      <c r="G13" s="22" t="n">
        <v>28000</v>
      </c>
      <c r="H13" s="22" t="n">
        <v>22000</v>
      </c>
      <c r="I13" s="22" t="n">
        <v>32000</v>
      </c>
      <c r="J13" s="23" t="n">
        <v>15</v>
      </c>
      <c r="K13" s="24" t="n">
        <f aca="false">IF(B13="","",J13*IFERROR(INDEX(設定!$C$43:$C$45,MATCH(F13,設定!$B$43:$B$45,0)),1))</f>
        <v>15</v>
      </c>
      <c r="L13" s="25" t="n">
        <f aca="false">IF(B13="","",I13-H13)</f>
        <v>10000</v>
      </c>
      <c r="M13" s="26" t="n">
        <f aca="false">IF(B13="","",IF(H13=0,"",L13/H13))</f>
        <v>0.454545454545455</v>
      </c>
      <c r="N13" s="26" t="n">
        <f aca="false">IF(B13="","",IF(J13=0,"",M13*365/J13))</f>
        <v>11.0606060606061</v>
      </c>
      <c r="O13" s="27" t="n">
        <f aca="false">IF(B13="","",IFERROR(M13/INDEX(設定!$C$43:$C$45,MATCH(F13,設定!$B$43:$B$45,0)),""))</f>
        <v>0.454545454545455</v>
      </c>
      <c r="P13" s="7" t="str">
        <f aca="false">IF(B13="","",IF(J13&lt;=設定!$C$6,IF(M13&gt;=設定!$C$7,"I(コア)","II(回転)"),IF(M13&gt;=設定!$C$7,"III(厳選)","IV(見送り)")))</f>
        <v>I(コア)</v>
      </c>
      <c r="Q13" s="7" t="str">
        <f aca="false">IF(B13="","",IF(OR(P13="I(コア)",P13="II(回転)"),"仕入れ候補",IF(P13="III(厳選)","厳選検討（少数）","見送り")))</f>
        <v>仕入れ候補</v>
      </c>
      <c r="R13" s="20"/>
    </row>
    <row r="14" customFormat="false" ht="15" hidden="false" customHeight="false" outlineLevel="0" collapsed="false">
      <c r="A14" s="18" t="n">
        <f aca="false">IF(B14="","",ROW()-12)</f>
        <v>2</v>
      </c>
      <c r="B14" s="20" t="s">
        <v>132</v>
      </c>
      <c r="C14" s="20" t="s">
        <v>66</v>
      </c>
      <c r="D14" s="21" t="s">
        <v>74</v>
      </c>
      <c r="E14" s="20" t="s">
        <v>80</v>
      </c>
      <c r="F14" s="20" t="s">
        <v>87</v>
      </c>
      <c r="G14" s="22" t="n">
        <v>18000</v>
      </c>
      <c r="H14" s="22" t="n">
        <v>15000</v>
      </c>
      <c r="I14" s="22" t="n">
        <v>19500</v>
      </c>
      <c r="J14" s="23" t="n">
        <v>20</v>
      </c>
      <c r="K14" s="24" t="n">
        <f aca="false">IF(B14="","",J14*IFERROR(INDEX(設定!$C$43:$C$45,MATCH(F14,設定!$B$43:$B$45,0)),1))</f>
        <v>24</v>
      </c>
      <c r="L14" s="25" t="n">
        <f aca="false">IF(B14="","",I14-H14)</f>
        <v>4500</v>
      </c>
      <c r="M14" s="26" t="n">
        <f aca="false">IF(B14="","",IF(H14=0,"",L14/H14))</f>
        <v>0.3</v>
      </c>
      <c r="N14" s="26" t="n">
        <f aca="false">IF(B14="","",IF(J14=0,"",M14*365/J14))</f>
        <v>5.475</v>
      </c>
      <c r="O14" s="27" t="n">
        <f aca="false">IF(B14="","",IFERROR(M14/INDEX(設定!$C$43:$C$45,MATCH(F14,設定!$B$43:$B$45,0)),""))</f>
        <v>0.25</v>
      </c>
      <c r="P14" s="7" t="str">
        <f aca="false">IF(B14="","",IF(J14&lt;=設定!$C$6,IF(M14&gt;=設定!$C$7,"I(コア)","II(回転)"),IF(M14&gt;=設定!$C$7,"III(厳選)","IV(見送り)")))</f>
        <v>I(コア)</v>
      </c>
      <c r="Q14" s="7" t="str">
        <f aca="false">IF(B14="","",IF(OR(P14="I(コア)",P14="II(回転)"),"仕入れ候補",IF(P14="III(厳選)","厳選検討（少数）","見送り")))</f>
        <v>仕入れ候補</v>
      </c>
      <c r="R14" s="20"/>
    </row>
    <row r="15" customFormat="false" ht="15" hidden="false" customHeight="false" outlineLevel="0" collapsed="false">
      <c r="A15" s="18" t="n">
        <f aca="false">IF(B15="","",ROW()-12)</f>
        <v>3</v>
      </c>
      <c r="B15" s="20" t="s">
        <v>133</v>
      </c>
      <c r="C15" s="20" t="s">
        <v>67</v>
      </c>
      <c r="D15" s="21" t="s">
        <v>73</v>
      </c>
      <c r="E15" s="20" t="s">
        <v>81</v>
      </c>
      <c r="F15" s="20" t="s">
        <v>88</v>
      </c>
      <c r="G15" s="22" t="n">
        <v>45000</v>
      </c>
      <c r="H15" s="22" t="n">
        <v>38000</v>
      </c>
      <c r="I15" s="22" t="n">
        <v>52000</v>
      </c>
      <c r="J15" s="23" t="n">
        <v>60</v>
      </c>
      <c r="K15" s="24" t="n">
        <f aca="false">IF(B15="","",J15*IFERROR(INDEX(設定!$C$43:$C$45,MATCH(F15,設定!$B$43:$B$45,0)),1))</f>
        <v>60</v>
      </c>
      <c r="L15" s="25" t="n">
        <f aca="false">IF(B15="","",I15-H15)</f>
        <v>14000</v>
      </c>
      <c r="M15" s="26" t="n">
        <f aca="false">IF(B15="","",IF(H15=0,"",L15/H15))</f>
        <v>0.368421052631579</v>
      </c>
      <c r="N15" s="26" t="n">
        <f aca="false">IF(B15="","",IF(J15=0,"",M15*365/J15))</f>
        <v>2.24122807017544</v>
      </c>
      <c r="O15" s="27" t="n">
        <f aca="false">IF(B15="","",IFERROR(M15/INDEX(設定!$C$43:$C$45,MATCH(F15,設定!$B$43:$B$45,0)),""))</f>
        <v>0.368421052631579</v>
      </c>
      <c r="P15" s="7" t="str">
        <f aca="false">IF(B15="","",IF(J15&lt;=設定!$C$6,IF(M15&gt;=設定!$C$7,"I(コア)","II(回転)"),IF(M15&gt;=設定!$C$7,"III(厳選)","IV(見送り)")))</f>
        <v>III(厳選)</v>
      </c>
      <c r="Q15" s="7" t="str">
        <f aca="false">IF(B15="","",IF(OR(P15="I(コア)",P15="II(回転)"),"仕入れ候補",IF(P15="III(厳選)","厳選検討（少数）","見送り")))</f>
        <v>厳選検討（少数）</v>
      </c>
      <c r="R15" s="20" t="s">
        <v>134</v>
      </c>
    </row>
    <row r="16" customFormat="false" ht="15" hidden="false" customHeight="false" outlineLevel="0" collapsed="false">
      <c r="A16" s="18" t="n">
        <f aca="false">IF(B16="","",ROW()-12)</f>
        <v>4</v>
      </c>
      <c r="B16" s="20" t="s">
        <v>135</v>
      </c>
      <c r="C16" s="20" t="s">
        <v>65</v>
      </c>
      <c r="D16" s="21" t="s">
        <v>75</v>
      </c>
      <c r="E16" s="20" t="s">
        <v>81</v>
      </c>
      <c r="F16" s="20" t="s">
        <v>87</v>
      </c>
      <c r="G16" s="22" t="n">
        <v>9000</v>
      </c>
      <c r="H16" s="22" t="n">
        <v>7000</v>
      </c>
      <c r="I16" s="22" t="n">
        <v>8500</v>
      </c>
      <c r="J16" s="23" t="n">
        <v>45</v>
      </c>
      <c r="K16" s="24" t="n">
        <f aca="false">IF(B16="","",J16*IFERROR(INDEX(設定!$C$43:$C$45,MATCH(F16,設定!$B$43:$B$45,0)),1))</f>
        <v>54</v>
      </c>
      <c r="L16" s="25" t="n">
        <f aca="false">IF(B16="","",I16-H16)</f>
        <v>1500</v>
      </c>
      <c r="M16" s="26" t="n">
        <f aca="false">IF(B16="","",IF(H16=0,"",L16/H16))</f>
        <v>0.214285714285714</v>
      </c>
      <c r="N16" s="26" t="n">
        <f aca="false">IF(B16="","",IF(J16=0,"",M16*365/J16))</f>
        <v>1.73809523809524</v>
      </c>
      <c r="O16" s="27" t="n">
        <f aca="false">IF(B16="","",IFERROR(M16/INDEX(設定!$C$43:$C$45,MATCH(F16,設定!$B$43:$B$45,0)),""))</f>
        <v>0.178571428571429</v>
      </c>
      <c r="P16" s="7" t="str">
        <f aca="false">IF(B16="","",IF(J16&lt;=設定!$C$6,IF(M16&gt;=設定!$C$7,"I(コア)","II(回転)"),IF(M16&gt;=設定!$C$7,"III(厳選)","IV(見送り)")))</f>
        <v>III(厳選)</v>
      </c>
      <c r="Q16" s="7" t="str">
        <f aca="false">IF(B16="","",IF(OR(P16="I(コア)",P16="II(回転)"),"仕入れ候補",IF(P16="III(厳選)","厳選検討（少数）","見送り")))</f>
        <v>厳選検討（少数）</v>
      </c>
      <c r="R16" s="20" t="s">
        <v>136</v>
      </c>
    </row>
    <row r="17" customFormat="false" ht="15" hidden="false" customHeight="false" outlineLevel="0" collapsed="false">
      <c r="A17" s="18" t="n">
        <f aca="false">IF(B17="","",ROW()-12)</f>
        <v>5</v>
      </c>
      <c r="B17" s="20" t="s">
        <v>137</v>
      </c>
      <c r="C17" s="20" t="s">
        <v>67</v>
      </c>
      <c r="D17" s="21" t="s">
        <v>75</v>
      </c>
      <c r="E17" s="20" t="s">
        <v>80</v>
      </c>
      <c r="F17" s="20" t="s">
        <v>87</v>
      </c>
      <c r="G17" s="22" t="n">
        <v>12000</v>
      </c>
      <c r="H17" s="22" t="n">
        <v>10000</v>
      </c>
      <c r="I17" s="22" t="n">
        <v>11500</v>
      </c>
      <c r="J17" s="23" t="n">
        <v>10</v>
      </c>
      <c r="K17" s="24" t="n">
        <f aca="false">IF(B17="","",J17*IFERROR(INDEX(設定!$C$43:$C$45,MATCH(F17,設定!$B$43:$B$45,0)),1))</f>
        <v>12</v>
      </c>
      <c r="L17" s="25" t="n">
        <f aca="false">IF(B17="","",I17-H17)</f>
        <v>1500</v>
      </c>
      <c r="M17" s="26" t="n">
        <f aca="false">IF(B17="","",IF(H17=0,"",L17/H17))</f>
        <v>0.15</v>
      </c>
      <c r="N17" s="26" t="n">
        <f aca="false">IF(B17="","",IF(J17=0,"",M17*365/J17))</f>
        <v>5.475</v>
      </c>
      <c r="O17" s="27" t="n">
        <f aca="false">IF(B17="","",IFERROR(M17/INDEX(設定!$C$43:$C$45,MATCH(F17,設定!$B$43:$B$45,0)),""))</f>
        <v>0.125</v>
      </c>
      <c r="P17" s="7" t="str">
        <f aca="false">IF(B17="","",IF(J17&lt;=設定!$C$6,IF(M17&gt;=設定!$C$7,"I(コア)","II(回転)"),IF(M17&gt;=設定!$C$7,"III(厳選)","IV(見送り)")))</f>
        <v>II(回転)</v>
      </c>
      <c r="Q17" s="7" t="str">
        <f aca="false">IF(B17="","",IF(OR(P17="I(コア)",P17="II(回転)"),"仕入れ候補",IF(P17="III(厳選)","厳選検討（少数）","見送り")))</f>
        <v>仕入れ候補</v>
      </c>
      <c r="R17" s="20"/>
    </row>
    <row r="18" customFormat="false" ht="15" hidden="false" customHeight="false" outlineLevel="0" collapsed="false">
      <c r="A18" s="18" t="n">
        <f aca="false">IF(B18="","",ROW()-12)</f>
        <v>6</v>
      </c>
      <c r="B18" s="20" t="s">
        <v>138</v>
      </c>
      <c r="C18" s="20" t="s">
        <v>67</v>
      </c>
      <c r="D18" s="21" t="s">
        <v>77</v>
      </c>
      <c r="E18" s="20" t="s">
        <v>82</v>
      </c>
      <c r="F18" s="20" t="s">
        <v>86</v>
      </c>
      <c r="G18" s="22" t="n">
        <v>3000</v>
      </c>
      <c r="H18" s="22" t="n">
        <v>2800</v>
      </c>
      <c r="I18" s="22" t="n">
        <v>2900</v>
      </c>
      <c r="J18" s="23" t="n">
        <v>90</v>
      </c>
      <c r="K18" s="24" t="n">
        <f aca="false">IF(B18="","",J18*IFERROR(INDEX(設定!$C$43:$C$45,MATCH(F18,設定!$B$43:$B$45,0)),1))</f>
        <v>135</v>
      </c>
      <c r="L18" s="25" t="n">
        <f aca="false">IF(B18="","",I18-H18)</f>
        <v>100</v>
      </c>
      <c r="M18" s="26" t="n">
        <f aca="false">IF(B18="","",IF(H18=0,"",L18/H18))</f>
        <v>0.0357142857142857</v>
      </c>
      <c r="N18" s="26" t="n">
        <f aca="false">IF(B18="","",IF(J18=0,"",M18*365/J18))</f>
        <v>0.14484126984127</v>
      </c>
      <c r="O18" s="27" t="n">
        <f aca="false">IF(B18="","",IFERROR(M18/INDEX(設定!$C$43:$C$45,MATCH(F18,設定!$B$43:$B$45,0)),""))</f>
        <v>0.0238095238095238</v>
      </c>
      <c r="P18" s="7" t="str">
        <f aca="false">IF(B18="","",IF(J18&lt;=設定!$C$6,IF(M18&gt;=設定!$C$7,"I(コア)","II(回転)"),IF(M18&gt;=設定!$C$7,"III(厳選)","IV(見送り)")))</f>
        <v>IV(見送り)</v>
      </c>
      <c r="Q18" s="7" t="str">
        <f aca="false">IF(B18="","",IF(OR(P18="I(コア)",P18="II(回転)"),"仕入れ候補",IF(P18="III(厳選)","厳選検討（少数）","見送り")))</f>
        <v>見送り</v>
      </c>
      <c r="R18" s="20"/>
    </row>
    <row r="19" customFormat="false" ht="15" hidden="false" customHeight="false" outlineLevel="0" collapsed="false">
      <c r="A19" s="18" t="str">
        <f aca="false">IF(B19="","",ROW()-12)</f>
        <v/>
      </c>
      <c r="B19" s="20"/>
      <c r="C19" s="20"/>
      <c r="D19" s="21"/>
      <c r="E19" s="20"/>
      <c r="F19" s="20"/>
      <c r="G19" s="22"/>
      <c r="H19" s="22"/>
      <c r="I19" s="22"/>
      <c r="J19" s="23"/>
      <c r="K19" s="24" t="str">
        <f aca="false">IF(B19="","",J19*IFERROR(INDEX(設定!$C$43:$C$45,MATCH(F19,設定!$B$43:$B$45,0)),1))</f>
        <v/>
      </c>
      <c r="L19" s="25" t="str">
        <f aca="false">IF(B19="","",I19-H19)</f>
        <v/>
      </c>
      <c r="M19" s="26" t="str">
        <f aca="false">IF(B19="","",IF(H19=0,"",L19/H19))</f>
        <v/>
      </c>
      <c r="N19" s="26" t="str">
        <f aca="false">IF(B19="","",IF(J19=0,"",M19*365/J19))</f>
        <v/>
      </c>
      <c r="O19" s="27" t="str">
        <f aca="false">IF(B19="","",IFERROR(M19/INDEX(設定!$C$43:$C$45,MATCH(F19,設定!$B$43:$B$45,0)),""))</f>
        <v/>
      </c>
      <c r="P19" s="7" t="str">
        <f aca="false">IF(B19="","",IF(J19&lt;=設定!$C$6,IF(M19&gt;=設定!$C$7,"I(コア)","II(回転)"),IF(M19&gt;=設定!$C$7,"III(厳選)","IV(見送り)")))</f>
        <v/>
      </c>
      <c r="Q19" s="7" t="str">
        <f aca="false">IF(B19="","",IF(OR(P19="I(コア)",P19="II(回転)"),"仕入れ候補",IF(P19="III(厳選)","厳選検討（少数）","見送り")))</f>
        <v/>
      </c>
      <c r="R19" s="20"/>
    </row>
    <row r="20" customFormat="false" ht="15" hidden="false" customHeight="false" outlineLevel="0" collapsed="false">
      <c r="A20" s="18" t="str">
        <f aca="false">IF(B20="","",ROW()-12)</f>
        <v/>
      </c>
      <c r="B20" s="20"/>
      <c r="C20" s="20"/>
      <c r="D20" s="21"/>
      <c r="E20" s="20"/>
      <c r="F20" s="20"/>
      <c r="G20" s="22"/>
      <c r="H20" s="22"/>
      <c r="I20" s="22"/>
      <c r="J20" s="23"/>
      <c r="K20" s="24" t="str">
        <f aca="false">IF(B20="","",J20*IFERROR(INDEX(設定!$C$43:$C$45,MATCH(F20,設定!$B$43:$B$45,0)),1))</f>
        <v/>
      </c>
      <c r="L20" s="25" t="str">
        <f aca="false">IF(B20="","",I20-H20)</f>
        <v/>
      </c>
      <c r="M20" s="26" t="str">
        <f aca="false">IF(B20="","",IF(H20=0,"",L20/H20))</f>
        <v/>
      </c>
      <c r="N20" s="26" t="str">
        <f aca="false">IF(B20="","",IF(J20=0,"",M20*365/J20))</f>
        <v/>
      </c>
      <c r="O20" s="27" t="str">
        <f aca="false">IF(B20="","",IFERROR(M20/INDEX(設定!$C$43:$C$45,MATCH(F20,設定!$B$43:$B$45,0)),""))</f>
        <v/>
      </c>
      <c r="P20" s="7" t="str">
        <f aca="false">IF(B20="","",IF(J20&lt;=設定!$C$6,IF(M20&gt;=設定!$C$7,"I(コア)","II(回転)"),IF(M20&gt;=設定!$C$7,"III(厳選)","IV(見送り)")))</f>
        <v/>
      </c>
      <c r="Q20" s="7" t="str">
        <f aca="false">IF(B20="","",IF(OR(P20="I(コア)",P20="II(回転)"),"仕入れ候補",IF(P20="III(厳選)","厳選検討（少数）","見送り")))</f>
        <v/>
      </c>
      <c r="R20" s="20"/>
    </row>
    <row r="21" customFormat="false" ht="15" hidden="false" customHeight="false" outlineLevel="0" collapsed="false">
      <c r="A21" s="18" t="str">
        <f aca="false">IF(B21="","",ROW()-12)</f>
        <v/>
      </c>
      <c r="B21" s="20"/>
      <c r="C21" s="20"/>
      <c r="D21" s="21"/>
      <c r="E21" s="20"/>
      <c r="F21" s="20"/>
      <c r="G21" s="22"/>
      <c r="H21" s="22"/>
      <c r="I21" s="22"/>
      <c r="J21" s="23"/>
      <c r="K21" s="24" t="str">
        <f aca="false">IF(B21="","",J21*IFERROR(INDEX(設定!$C$43:$C$45,MATCH(F21,設定!$B$43:$B$45,0)),1))</f>
        <v/>
      </c>
      <c r="L21" s="25" t="str">
        <f aca="false">IF(B21="","",I21-H21)</f>
        <v/>
      </c>
      <c r="M21" s="26" t="str">
        <f aca="false">IF(B21="","",IF(H21=0,"",L21/H21))</f>
        <v/>
      </c>
      <c r="N21" s="26" t="str">
        <f aca="false">IF(B21="","",IF(J21=0,"",M21*365/J21))</f>
        <v/>
      </c>
      <c r="O21" s="27" t="str">
        <f aca="false">IF(B21="","",IFERROR(M21/INDEX(設定!$C$43:$C$45,MATCH(F21,設定!$B$43:$B$45,0)),""))</f>
        <v/>
      </c>
      <c r="P21" s="7" t="str">
        <f aca="false">IF(B21="","",IF(J21&lt;=設定!$C$6,IF(M21&gt;=設定!$C$7,"I(コア)","II(回転)"),IF(M21&gt;=設定!$C$7,"III(厳選)","IV(見送り)")))</f>
        <v/>
      </c>
      <c r="Q21" s="7" t="str">
        <f aca="false">IF(B21="","",IF(OR(P21="I(コア)",P21="II(回転)"),"仕入れ候補",IF(P21="III(厳選)","厳選検討（少数）","見送り")))</f>
        <v/>
      </c>
      <c r="R21" s="20"/>
    </row>
    <row r="22" customFormat="false" ht="15" hidden="false" customHeight="false" outlineLevel="0" collapsed="false">
      <c r="A22" s="18" t="str">
        <f aca="false">IF(B22="","",ROW()-12)</f>
        <v/>
      </c>
      <c r="B22" s="20"/>
      <c r="C22" s="20"/>
      <c r="D22" s="21"/>
      <c r="E22" s="20"/>
      <c r="F22" s="20"/>
      <c r="G22" s="22"/>
      <c r="H22" s="22"/>
      <c r="I22" s="22"/>
      <c r="J22" s="23"/>
      <c r="K22" s="24" t="str">
        <f aca="false">IF(B22="","",J22*IFERROR(INDEX(設定!$C$43:$C$45,MATCH(F22,設定!$B$43:$B$45,0)),1))</f>
        <v/>
      </c>
      <c r="L22" s="25" t="str">
        <f aca="false">IF(B22="","",I22-H22)</f>
        <v/>
      </c>
      <c r="M22" s="26" t="str">
        <f aca="false">IF(B22="","",IF(H22=0,"",L22/H22))</f>
        <v/>
      </c>
      <c r="N22" s="26" t="str">
        <f aca="false">IF(B22="","",IF(J22=0,"",M22*365/J22))</f>
        <v/>
      </c>
      <c r="O22" s="27" t="str">
        <f aca="false">IF(B22="","",IFERROR(M22/INDEX(設定!$C$43:$C$45,MATCH(F22,設定!$B$43:$B$45,0)),""))</f>
        <v/>
      </c>
      <c r="P22" s="7" t="str">
        <f aca="false">IF(B22="","",IF(J22&lt;=設定!$C$6,IF(M22&gt;=設定!$C$7,"I(コア)","II(回転)"),IF(M22&gt;=設定!$C$7,"III(厳選)","IV(見送り)")))</f>
        <v/>
      </c>
      <c r="Q22" s="7" t="str">
        <f aca="false">IF(B22="","",IF(OR(P22="I(コア)",P22="II(回転)"),"仕入れ候補",IF(P22="III(厳選)","厳選検討（少数）","見送り")))</f>
        <v/>
      </c>
      <c r="R22" s="20"/>
    </row>
    <row r="23" customFormat="false" ht="15" hidden="false" customHeight="false" outlineLevel="0" collapsed="false">
      <c r="A23" s="18" t="str">
        <f aca="false">IF(B23="","",ROW()-12)</f>
        <v/>
      </c>
      <c r="B23" s="20"/>
      <c r="C23" s="20"/>
      <c r="D23" s="21"/>
      <c r="E23" s="20"/>
      <c r="F23" s="20"/>
      <c r="G23" s="22"/>
      <c r="H23" s="22"/>
      <c r="I23" s="22"/>
      <c r="J23" s="23"/>
      <c r="K23" s="24" t="str">
        <f aca="false">IF(B23="","",J23*IFERROR(INDEX(設定!$C$43:$C$45,MATCH(F23,設定!$B$43:$B$45,0)),1))</f>
        <v/>
      </c>
      <c r="L23" s="25" t="str">
        <f aca="false">IF(B23="","",I23-H23)</f>
        <v/>
      </c>
      <c r="M23" s="26" t="str">
        <f aca="false">IF(B23="","",IF(H23=0,"",L23/H23))</f>
        <v/>
      </c>
      <c r="N23" s="26" t="str">
        <f aca="false">IF(B23="","",IF(J23=0,"",M23*365/J23))</f>
        <v/>
      </c>
      <c r="O23" s="27" t="str">
        <f aca="false">IF(B23="","",IFERROR(M23/INDEX(設定!$C$43:$C$45,MATCH(F23,設定!$B$43:$B$45,0)),""))</f>
        <v/>
      </c>
      <c r="P23" s="7" t="str">
        <f aca="false">IF(B23="","",IF(J23&lt;=設定!$C$6,IF(M23&gt;=設定!$C$7,"I(コア)","II(回転)"),IF(M23&gt;=設定!$C$7,"III(厳選)","IV(見送り)")))</f>
        <v/>
      </c>
      <c r="Q23" s="7" t="str">
        <f aca="false">IF(B23="","",IF(OR(P23="I(コア)",P23="II(回転)"),"仕入れ候補",IF(P23="III(厳選)","厳選検討（少数）","見送り")))</f>
        <v/>
      </c>
      <c r="R23" s="20"/>
    </row>
    <row r="24" customFormat="false" ht="15" hidden="false" customHeight="false" outlineLevel="0" collapsed="false">
      <c r="A24" s="18" t="str">
        <f aca="false">IF(B24="","",ROW()-12)</f>
        <v/>
      </c>
      <c r="B24" s="20"/>
      <c r="C24" s="20"/>
      <c r="D24" s="21"/>
      <c r="E24" s="20"/>
      <c r="F24" s="20"/>
      <c r="G24" s="22"/>
      <c r="H24" s="22"/>
      <c r="I24" s="22"/>
      <c r="J24" s="23"/>
      <c r="K24" s="24" t="str">
        <f aca="false">IF(B24="","",J24*IFERROR(INDEX(設定!$C$43:$C$45,MATCH(F24,設定!$B$43:$B$45,0)),1))</f>
        <v/>
      </c>
      <c r="L24" s="25" t="str">
        <f aca="false">IF(B24="","",I24-H24)</f>
        <v/>
      </c>
      <c r="M24" s="26" t="str">
        <f aca="false">IF(B24="","",IF(H24=0,"",L24/H24))</f>
        <v/>
      </c>
      <c r="N24" s="26" t="str">
        <f aca="false">IF(B24="","",IF(J24=0,"",M24*365/J24))</f>
        <v/>
      </c>
      <c r="O24" s="27" t="str">
        <f aca="false">IF(B24="","",IFERROR(M24/INDEX(設定!$C$43:$C$45,MATCH(F24,設定!$B$43:$B$45,0)),""))</f>
        <v/>
      </c>
      <c r="P24" s="7" t="str">
        <f aca="false">IF(B24="","",IF(J24&lt;=設定!$C$6,IF(M24&gt;=設定!$C$7,"I(コア)","II(回転)"),IF(M24&gt;=設定!$C$7,"III(厳選)","IV(見送り)")))</f>
        <v/>
      </c>
      <c r="Q24" s="7" t="str">
        <f aca="false">IF(B24="","",IF(OR(P24="I(コア)",P24="II(回転)"),"仕入れ候補",IF(P24="III(厳選)","厳選検討（少数）","見送り")))</f>
        <v/>
      </c>
      <c r="R24" s="20"/>
    </row>
    <row r="25" customFormat="false" ht="15" hidden="false" customHeight="false" outlineLevel="0" collapsed="false">
      <c r="A25" s="18" t="str">
        <f aca="false">IF(B25="","",ROW()-12)</f>
        <v/>
      </c>
      <c r="B25" s="20"/>
      <c r="C25" s="20"/>
      <c r="D25" s="21"/>
      <c r="E25" s="20"/>
      <c r="F25" s="20"/>
      <c r="G25" s="22"/>
      <c r="H25" s="22"/>
      <c r="I25" s="22"/>
      <c r="J25" s="23"/>
      <c r="K25" s="24" t="str">
        <f aca="false">IF(B25="","",J25*IFERROR(INDEX(設定!$C$43:$C$45,MATCH(F25,設定!$B$43:$B$45,0)),1))</f>
        <v/>
      </c>
      <c r="L25" s="25" t="str">
        <f aca="false">IF(B25="","",I25-H25)</f>
        <v/>
      </c>
      <c r="M25" s="26" t="str">
        <f aca="false">IF(B25="","",IF(H25=0,"",L25/H25))</f>
        <v/>
      </c>
      <c r="N25" s="26" t="str">
        <f aca="false">IF(B25="","",IF(J25=0,"",M25*365/J25))</f>
        <v/>
      </c>
      <c r="O25" s="27" t="str">
        <f aca="false">IF(B25="","",IFERROR(M25/INDEX(設定!$C$43:$C$45,MATCH(F25,設定!$B$43:$B$45,0)),""))</f>
        <v/>
      </c>
      <c r="P25" s="7" t="str">
        <f aca="false">IF(B25="","",IF(J25&lt;=設定!$C$6,IF(M25&gt;=設定!$C$7,"I(コア)","II(回転)"),IF(M25&gt;=設定!$C$7,"III(厳選)","IV(見送り)")))</f>
        <v/>
      </c>
      <c r="Q25" s="7" t="str">
        <f aca="false">IF(B25="","",IF(OR(P25="I(コア)",P25="II(回転)"),"仕入れ候補",IF(P25="III(厳選)","厳選検討（少数）","見送り")))</f>
        <v/>
      </c>
      <c r="R25" s="20"/>
    </row>
    <row r="26" customFormat="false" ht="15" hidden="false" customHeight="false" outlineLevel="0" collapsed="false">
      <c r="A26" s="18" t="str">
        <f aca="false">IF(B26="","",ROW()-12)</f>
        <v/>
      </c>
      <c r="B26" s="20"/>
      <c r="C26" s="20"/>
      <c r="D26" s="21"/>
      <c r="E26" s="20"/>
      <c r="F26" s="20"/>
      <c r="G26" s="22"/>
      <c r="H26" s="22"/>
      <c r="I26" s="22"/>
      <c r="J26" s="23"/>
      <c r="K26" s="24" t="str">
        <f aca="false">IF(B26="","",J26*IFERROR(INDEX(設定!$C$43:$C$45,MATCH(F26,設定!$B$43:$B$45,0)),1))</f>
        <v/>
      </c>
      <c r="L26" s="25" t="str">
        <f aca="false">IF(B26="","",I26-H26)</f>
        <v/>
      </c>
      <c r="M26" s="26" t="str">
        <f aca="false">IF(B26="","",IF(H26=0,"",L26/H26))</f>
        <v/>
      </c>
      <c r="N26" s="26" t="str">
        <f aca="false">IF(B26="","",IF(J26=0,"",M26*365/J26))</f>
        <v/>
      </c>
      <c r="O26" s="27" t="str">
        <f aca="false">IF(B26="","",IFERROR(M26/INDEX(設定!$C$43:$C$45,MATCH(F26,設定!$B$43:$B$45,0)),""))</f>
        <v/>
      </c>
      <c r="P26" s="7" t="str">
        <f aca="false">IF(B26="","",IF(J26&lt;=設定!$C$6,IF(M26&gt;=設定!$C$7,"I(コア)","II(回転)"),IF(M26&gt;=設定!$C$7,"III(厳選)","IV(見送り)")))</f>
        <v/>
      </c>
      <c r="Q26" s="7" t="str">
        <f aca="false">IF(B26="","",IF(OR(P26="I(コア)",P26="II(回転)"),"仕入れ候補",IF(P26="III(厳選)","厳選検討（少数）","見送り")))</f>
        <v/>
      </c>
      <c r="R26" s="20"/>
    </row>
    <row r="27" customFormat="false" ht="15" hidden="false" customHeight="false" outlineLevel="0" collapsed="false">
      <c r="A27" s="18" t="str">
        <f aca="false">IF(B27="","",ROW()-12)</f>
        <v/>
      </c>
      <c r="B27" s="20"/>
      <c r="C27" s="20"/>
      <c r="D27" s="21"/>
      <c r="E27" s="20"/>
      <c r="F27" s="20"/>
      <c r="G27" s="22"/>
      <c r="H27" s="22"/>
      <c r="I27" s="22"/>
      <c r="J27" s="23"/>
      <c r="K27" s="24" t="str">
        <f aca="false">IF(B27="","",J27*IFERROR(INDEX(設定!$C$43:$C$45,MATCH(F27,設定!$B$43:$B$45,0)),1))</f>
        <v/>
      </c>
      <c r="L27" s="25" t="str">
        <f aca="false">IF(B27="","",I27-H27)</f>
        <v/>
      </c>
      <c r="M27" s="26" t="str">
        <f aca="false">IF(B27="","",IF(H27=0,"",L27/H27))</f>
        <v/>
      </c>
      <c r="N27" s="26" t="str">
        <f aca="false">IF(B27="","",IF(J27=0,"",M27*365/J27))</f>
        <v/>
      </c>
      <c r="O27" s="27" t="str">
        <f aca="false">IF(B27="","",IFERROR(M27/INDEX(設定!$C$43:$C$45,MATCH(F27,設定!$B$43:$B$45,0)),""))</f>
        <v/>
      </c>
      <c r="P27" s="7" t="str">
        <f aca="false">IF(B27="","",IF(J27&lt;=設定!$C$6,IF(M27&gt;=設定!$C$7,"I(コア)","II(回転)"),IF(M27&gt;=設定!$C$7,"III(厳選)","IV(見送り)")))</f>
        <v/>
      </c>
      <c r="Q27" s="7" t="str">
        <f aca="false">IF(B27="","",IF(OR(P27="I(コア)",P27="II(回転)"),"仕入れ候補",IF(P27="III(厳選)","厳選検討（少数）","見送り")))</f>
        <v/>
      </c>
      <c r="R27" s="20"/>
    </row>
    <row r="28" customFormat="false" ht="15" hidden="false" customHeight="false" outlineLevel="0" collapsed="false">
      <c r="A28" s="18" t="str">
        <f aca="false">IF(B28="","",ROW()-12)</f>
        <v/>
      </c>
      <c r="B28" s="20"/>
      <c r="C28" s="20"/>
      <c r="D28" s="21"/>
      <c r="E28" s="20"/>
      <c r="F28" s="20"/>
      <c r="G28" s="22"/>
      <c r="H28" s="22"/>
      <c r="I28" s="22"/>
      <c r="J28" s="23"/>
      <c r="K28" s="24" t="str">
        <f aca="false">IF(B28="","",J28*IFERROR(INDEX(設定!$C$43:$C$45,MATCH(F28,設定!$B$43:$B$45,0)),1))</f>
        <v/>
      </c>
      <c r="L28" s="25" t="str">
        <f aca="false">IF(B28="","",I28-H28)</f>
        <v/>
      </c>
      <c r="M28" s="26" t="str">
        <f aca="false">IF(B28="","",IF(H28=0,"",L28/H28))</f>
        <v/>
      </c>
      <c r="N28" s="26" t="str">
        <f aca="false">IF(B28="","",IF(J28=0,"",M28*365/J28))</f>
        <v/>
      </c>
      <c r="O28" s="27" t="str">
        <f aca="false">IF(B28="","",IFERROR(M28/INDEX(設定!$C$43:$C$45,MATCH(F28,設定!$B$43:$B$45,0)),""))</f>
        <v/>
      </c>
      <c r="P28" s="7" t="str">
        <f aca="false">IF(B28="","",IF(J28&lt;=設定!$C$6,IF(M28&gt;=設定!$C$7,"I(コア)","II(回転)"),IF(M28&gt;=設定!$C$7,"III(厳選)","IV(見送り)")))</f>
        <v/>
      </c>
      <c r="Q28" s="7" t="str">
        <f aca="false">IF(B28="","",IF(OR(P28="I(コア)",P28="II(回転)"),"仕入れ候補",IF(P28="III(厳選)","厳選検討（少数）","見送り")))</f>
        <v/>
      </c>
      <c r="R28" s="20"/>
    </row>
    <row r="29" customFormat="false" ht="15" hidden="false" customHeight="false" outlineLevel="0" collapsed="false">
      <c r="A29" s="18" t="str">
        <f aca="false">IF(B29="","",ROW()-12)</f>
        <v/>
      </c>
      <c r="B29" s="20"/>
      <c r="C29" s="20"/>
      <c r="D29" s="21"/>
      <c r="E29" s="20"/>
      <c r="F29" s="20"/>
      <c r="G29" s="22"/>
      <c r="H29" s="22"/>
      <c r="I29" s="22"/>
      <c r="J29" s="23"/>
      <c r="K29" s="24" t="str">
        <f aca="false">IF(B29="","",J29*IFERROR(INDEX(設定!$C$43:$C$45,MATCH(F29,設定!$B$43:$B$45,0)),1))</f>
        <v/>
      </c>
      <c r="L29" s="25" t="str">
        <f aca="false">IF(B29="","",I29-H29)</f>
        <v/>
      </c>
      <c r="M29" s="26" t="str">
        <f aca="false">IF(B29="","",IF(H29=0,"",L29/H29))</f>
        <v/>
      </c>
      <c r="N29" s="26" t="str">
        <f aca="false">IF(B29="","",IF(J29=0,"",M29*365/J29))</f>
        <v/>
      </c>
      <c r="O29" s="27" t="str">
        <f aca="false">IF(B29="","",IFERROR(M29/INDEX(設定!$C$43:$C$45,MATCH(F29,設定!$B$43:$B$45,0)),""))</f>
        <v/>
      </c>
      <c r="P29" s="7" t="str">
        <f aca="false">IF(B29="","",IF(J29&lt;=設定!$C$6,IF(M29&gt;=設定!$C$7,"I(コア)","II(回転)"),IF(M29&gt;=設定!$C$7,"III(厳選)","IV(見送り)")))</f>
        <v/>
      </c>
      <c r="Q29" s="7" t="str">
        <f aca="false">IF(B29="","",IF(OR(P29="I(コア)",P29="II(回転)"),"仕入れ候補",IF(P29="III(厳選)","厳選検討（少数）","見送り")))</f>
        <v/>
      </c>
      <c r="R29" s="20"/>
    </row>
    <row r="30" customFormat="false" ht="15" hidden="false" customHeight="false" outlineLevel="0" collapsed="false">
      <c r="A30" s="18" t="str">
        <f aca="false">IF(B30="","",ROW()-12)</f>
        <v/>
      </c>
      <c r="B30" s="20"/>
      <c r="C30" s="20"/>
      <c r="D30" s="21"/>
      <c r="E30" s="20"/>
      <c r="F30" s="20"/>
      <c r="G30" s="22"/>
      <c r="H30" s="22"/>
      <c r="I30" s="22"/>
      <c r="J30" s="23"/>
      <c r="K30" s="24" t="str">
        <f aca="false">IF(B30="","",J30*IFERROR(INDEX(設定!$C$43:$C$45,MATCH(F30,設定!$B$43:$B$45,0)),1))</f>
        <v/>
      </c>
      <c r="L30" s="25" t="str">
        <f aca="false">IF(B30="","",I30-H30)</f>
        <v/>
      </c>
      <c r="M30" s="26" t="str">
        <f aca="false">IF(B30="","",IF(H30=0,"",L30/H30))</f>
        <v/>
      </c>
      <c r="N30" s="26" t="str">
        <f aca="false">IF(B30="","",IF(J30=0,"",M30*365/J30))</f>
        <v/>
      </c>
      <c r="O30" s="27" t="str">
        <f aca="false">IF(B30="","",IFERROR(M30/INDEX(設定!$C$43:$C$45,MATCH(F30,設定!$B$43:$B$45,0)),""))</f>
        <v/>
      </c>
      <c r="P30" s="7" t="str">
        <f aca="false">IF(B30="","",IF(J30&lt;=設定!$C$6,IF(M30&gt;=設定!$C$7,"I(コア)","II(回転)"),IF(M30&gt;=設定!$C$7,"III(厳選)","IV(見送り)")))</f>
        <v/>
      </c>
      <c r="Q30" s="7" t="str">
        <f aca="false">IF(B30="","",IF(OR(P30="I(コア)",P30="II(回転)"),"仕入れ候補",IF(P30="III(厳選)","厳選検討（少数）","見送り")))</f>
        <v/>
      </c>
      <c r="R30" s="20"/>
    </row>
    <row r="31" customFormat="false" ht="15" hidden="false" customHeight="false" outlineLevel="0" collapsed="false">
      <c r="A31" s="18" t="str">
        <f aca="false">IF(B31="","",ROW()-12)</f>
        <v/>
      </c>
      <c r="B31" s="20"/>
      <c r="C31" s="20"/>
      <c r="D31" s="21"/>
      <c r="E31" s="20"/>
      <c r="F31" s="20"/>
      <c r="G31" s="22"/>
      <c r="H31" s="22"/>
      <c r="I31" s="22"/>
      <c r="J31" s="23"/>
      <c r="K31" s="24" t="str">
        <f aca="false">IF(B31="","",J31*IFERROR(INDEX(設定!$C$43:$C$45,MATCH(F31,設定!$B$43:$B$45,0)),1))</f>
        <v/>
      </c>
      <c r="L31" s="25" t="str">
        <f aca="false">IF(B31="","",I31-H31)</f>
        <v/>
      </c>
      <c r="M31" s="26" t="str">
        <f aca="false">IF(B31="","",IF(H31=0,"",L31/H31))</f>
        <v/>
      </c>
      <c r="N31" s="26" t="str">
        <f aca="false">IF(B31="","",IF(J31=0,"",M31*365/J31))</f>
        <v/>
      </c>
      <c r="O31" s="27" t="str">
        <f aca="false">IF(B31="","",IFERROR(M31/INDEX(設定!$C$43:$C$45,MATCH(F31,設定!$B$43:$B$45,0)),""))</f>
        <v/>
      </c>
      <c r="P31" s="7" t="str">
        <f aca="false">IF(B31="","",IF(J31&lt;=設定!$C$6,IF(M31&gt;=設定!$C$7,"I(コア)","II(回転)"),IF(M31&gt;=設定!$C$7,"III(厳選)","IV(見送り)")))</f>
        <v/>
      </c>
      <c r="Q31" s="7" t="str">
        <f aca="false">IF(B31="","",IF(OR(P31="I(コア)",P31="II(回転)"),"仕入れ候補",IF(P31="III(厳選)","厳選検討（少数）","見送り")))</f>
        <v/>
      </c>
      <c r="R31" s="20"/>
    </row>
    <row r="32" customFormat="false" ht="15" hidden="false" customHeight="false" outlineLevel="0" collapsed="false">
      <c r="A32" s="18" t="str">
        <f aca="false">IF(B32="","",ROW()-12)</f>
        <v/>
      </c>
      <c r="B32" s="20"/>
      <c r="C32" s="20"/>
      <c r="D32" s="21"/>
      <c r="E32" s="20"/>
      <c r="F32" s="20"/>
      <c r="G32" s="22"/>
      <c r="H32" s="22"/>
      <c r="I32" s="22"/>
      <c r="J32" s="23"/>
      <c r="K32" s="24" t="str">
        <f aca="false">IF(B32="","",J32*IFERROR(INDEX(設定!$C$43:$C$45,MATCH(F32,設定!$B$43:$B$45,0)),1))</f>
        <v/>
      </c>
      <c r="L32" s="25" t="str">
        <f aca="false">IF(B32="","",I32-H32)</f>
        <v/>
      </c>
      <c r="M32" s="26" t="str">
        <f aca="false">IF(B32="","",IF(H32=0,"",L32/H32))</f>
        <v/>
      </c>
      <c r="N32" s="26" t="str">
        <f aca="false">IF(B32="","",IF(J32=0,"",M32*365/J32))</f>
        <v/>
      </c>
      <c r="O32" s="27" t="str">
        <f aca="false">IF(B32="","",IFERROR(M32/INDEX(設定!$C$43:$C$45,MATCH(F32,設定!$B$43:$B$45,0)),""))</f>
        <v/>
      </c>
      <c r="P32" s="7" t="str">
        <f aca="false">IF(B32="","",IF(J32&lt;=設定!$C$6,IF(M32&gt;=設定!$C$7,"I(コア)","II(回転)"),IF(M32&gt;=設定!$C$7,"III(厳選)","IV(見送り)")))</f>
        <v/>
      </c>
      <c r="Q32" s="7" t="str">
        <f aca="false">IF(B32="","",IF(OR(P32="I(コア)",P32="II(回転)"),"仕入れ候補",IF(P32="III(厳選)","厳選検討（少数）","見送り")))</f>
        <v/>
      </c>
      <c r="R32" s="20"/>
    </row>
    <row r="33" customFormat="false" ht="15" hidden="false" customHeight="false" outlineLevel="0" collapsed="false">
      <c r="A33" s="18" t="str">
        <f aca="false">IF(B33="","",ROW()-12)</f>
        <v/>
      </c>
      <c r="B33" s="20"/>
      <c r="C33" s="20"/>
      <c r="D33" s="21"/>
      <c r="E33" s="20"/>
      <c r="F33" s="20"/>
      <c r="G33" s="22"/>
      <c r="H33" s="22"/>
      <c r="I33" s="22"/>
      <c r="J33" s="23"/>
      <c r="K33" s="24" t="str">
        <f aca="false">IF(B33="","",J33*IFERROR(INDEX(設定!$C$43:$C$45,MATCH(F33,設定!$B$43:$B$45,0)),1))</f>
        <v/>
      </c>
      <c r="L33" s="25" t="str">
        <f aca="false">IF(B33="","",I33-H33)</f>
        <v/>
      </c>
      <c r="M33" s="26" t="str">
        <f aca="false">IF(B33="","",IF(H33=0,"",L33/H33))</f>
        <v/>
      </c>
      <c r="N33" s="26" t="str">
        <f aca="false">IF(B33="","",IF(J33=0,"",M33*365/J33))</f>
        <v/>
      </c>
      <c r="O33" s="27" t="str">
        <f aca="false">IF(B33="","",IFERROR(M33/INDEX(設定!$C$43:$C$45,MATCH(F33,設定!$B$43:$B$45,0)),""))</f>
        <v/>
      </c>
      <c r="P33" s="7" t="str">
        <f aca="false">IF(B33="","",IF(J33&lt;=設定!$C$6,IF(M33&gt;=設定!$C$7,"I(コア)","II(回転)"),IF(M33&gt;=設定!$C$7,"III(厳選)","IV(見送り)")))</f>
        <v/>
      </c>
      <c r="Q33" s="7" t="str">
        <f aca="false">IF(B33="","",IF(OR(P33="I(コア)",P33="II(回転)"),"仕入れ候補",IF(P33="III(厳選)","厳選検討（少数）","見送り")))</f>
        <v/>
      </c>
      <c r="R33" s="20"/>
    </row>
    <row r="34" customFormat="false" ht="15" hidden="false" customHeight="false" outlineLevel="0" collapsed="false">
      <c r="A34" s="18" t="str">
        <f aca="false">IF(B34="","",ROW()-12)</f>
        <v/>
      </c>
      <c r="B34" s="20"/>
      <c r="C34" s="20"/>
      <c r="D34" s="21"/>
      <c r="E34" s="20"/>
      <c r="F34" s="20"/>
      <c r="G34" s="22"/>
      <c r="H34" s="22"/>
      <c r="I34" s="22"/>
      <c r="J34" s="23"/>
      <c r="K34" s="24" t="str">
        <f aca="false">IF(B34="","",J34*IFERROR(INDEX(設定!$C$43:$C$45,MATCH(F34,設定!$B$43:$B$45,0)),1))</f>
        <v/>
      </c>
      <c r="L34" s="25" t="str">
        <f aca="false">IF(B34="","",I34-H34)</f>
        <v/>
      </c>
      <c r="M34" s="26" t="str">
        <f aca="false">IF(B34="","",IF(H34=0,"",L34/H34))</f>
        <v/>
      </c>
      <c r="N34" s="26" t="str">
        <f aca="false">IF(B34="","",IF(J34=0,"",M34*365/J34))</f>
        <v/>
      </c>
      <c r="O34" s="27" t="str">
        <f aca="false">IF(B34="","",IFERROR(M34/INDEX(設定!$C$43:$C$45,MATCH(F34,設定!$B$43:$B$45,0)),""))</f>
        <v/>
      </c>
      <c r="P34" s="7" t="str">
        <f aca="false">IF(B34="","",IF(J34&lt;=設定!$C$6,IF(M34&gt;=設定!$C$7,"I(コア)","II(回転)"),IF(M34&gt;=設定!$C$7,"III(厳選)","IV(見送り)")))</f>
        <v/>
      </c>
      <c r="Q34" s="7" t="str">
        <f aca="false">IF(B34="","",IF(OR(P34="I(コア)",P34="II(回転)"),"仕入れ候補",IF(P34="III(厳選)","厳選検討（少数）","見送り")))</f>
        <v/>
      </c>
      <c r="R34" s="20"/>
    </row>
    <row r="35" customFormat="false" ht="15" hidden="false" customHeight="false" outlineLevel="0" collapsed="false">
      <c r="A35" s="18" t="str">
        <f aca="false">IF(B35="","",ROW()-12)</f>
        <v/>
      </c>
      <c r="B35" s="20"/>
      <c r="C35" s="20"/>
      <c r="D35" s="21"/>
      <c r="E35" s="20"/>
      <c r="F35" s="20"/>
      <c r="G35" s="22"/>
      <c r="H35" s="22"/>
      <c r="I35" s="22"/>
      <c r="J35" s="23"/>
      <c r="K35" s="24" t="str">
        <f aca="false">IF(B35="","",J35*IFERROR(INDEX(設定!$C$43:$C$45,MATCH(F35,設定!$B$43:$B$45,0)),1))</f>
        <v/>
      </c>
      <c r="L35" s="25" t="str">
        <f aca="false">IF(B35="","",I35-H35)</f>
        <v/>
      </c>
      <c r="M35" s="26" t="str">
        <f aca="false">IF(B35="","",IF(H35=0,"",L35/H35))</f>
        <v/>
      </c>
      <c r="N35" s="26" t="str">
        <f aca="false">IF(B35="","",IF(J35=0,"",M35*365/J35))</f>
        <v/>
      </c>
      <c r="O35" s="27" t="str">
        <f aca="false">IF(B35="","",IFERROR(M35/INDEX(設定!$C$43:$C$45,MATCH(F35,設定!$B$43:$B$45,0)),""))</f>
        <v/>
      </c>
      <c r="P35" s="7" t="str">
        <f aca="false">IF(B35="","",IF(J35&lt;=設定!$C$6,IF(M35&gt;=設定!$C$7,"I(コア)","II(回転)"),IF(M35&gt;=設定!$C$7,"III(厳選)","IV(見送り)")))</f>
        <v/>
      </c>
      <c r="Q35" s="7" t="str">
        <f aca="false">IF(B35="","",IF(OR(P35="I(コア)",P35="II(回転)"),"仕入れ候補",IF(P35="III(厳選)","厳選検討（少数）","見送り")))</f>
        <v/>
      </c>
      <c r="R35" s="20"/>
    </row>
    <row r="36" customFormat="false" ht="15" hidden="false" customHeight="false" outlineLevel="0" collapsed="false">
      <c r="A36" s="18" t="str">
        <f aca="false">IF(B36="","",ROW()-12)</f>
        <v/>
      </c>
      <c r="B36" s="20"/>
      <c r="C36" s="20"/>
      <c r="D36" s="21"/>
      <c r="E36" s="20"/>
      <c r="F36" s="20"/>
      <c r="G36" s="22"/>
      <c r="H36" s="22"/>
      <c r="I36" s="22"/>
      <c r="J36" s="23"/>
      <c r="K36" s="24" t="str">
        <f aca="false">IF(B36="","",J36*IFERROR(INDEX(設定!$C$43:$C$45,MATCH(F36,設定!$B$43:$B$45,0)),1))</f>
        <v/>
      </c>
      <c r="L36" s="25" t="str">
        <f aca="false">IF(B36="","",I36-H36)</f>
        <v/>
      </c>
      <c r="M36" s="26" t="str">
        <f aca="false">IF(B36="","",IF(H36=0,"",L36/H36))</f>
        <v/>
      </c>
      <c r="N36" s="26" t="str">
        <f aca="false">IF(B36="","",IF(J36=0,"",M36*365/J36))</f>
        <v/>
      </c>
      <c r="O36" s="27" t="str">
        <f aca="false">IF(B36="","",IFERROR(M36/INDEX(設定!$C$43:$C$45,MATCH(F36,設定!$B$43:$B$45,0)),""))</f>
        <v/>
      </c>
      <c r="P36" s="7" t="str">
        <f aca="false">IF(B36="","",IF(J36&lt;=設定!$C$6,IF(M36&gt;=設定!$C$7,"I(コア)","II(回転)"),IF(M36&gt;=設定!$C$7,"III(厳選)","IV(見送り)")))</f>
        <v/>
      </c>
      <c r="Q36" s="7" t="str">
        <f aca="false">IF(B36="","",IF(OR(P36="I(コア)",P36="II(回転)"),"仕入れ候補",IF(P36="III(厳選)","厳選検討（少数）","見送り")))</f>
        <v/>
      </c>
      <c r="R36" s="20"/>
    </row>
    <row r="37" customFormat="false" ht="15" hidden="false" customHeight="false" outlineLevel="0" collapsed="false">
      <c r="A37" s="18" t="str">
        <f aca="false">IF(B37="","",ROW()-12)</f>
        <v/>
      </c>
      <c r="B37" s="20"/>
      <c r="C37" s="20"/>
      <c r="D37" s="21"/>
      <c r="E37" s="20"/>
      <c r="F37" s="20"/>
      <c r="G37" s="22"/>
      <c r="H37" s="22"/>
      <c r="I37" s="22"/>
      <c r="J37" s="23"/>
      <c r="K37" s="24" t="str">
        <f aca="false">IF(B37="","",J37*IFERROR(INDEX(設定!$C$43:$C$45,MATCH(F37,設定!$B$43:$B$45,0)),1))</f>
        <v/>
      </c>
      <c r="L37" s="25" t="str">
        <f aca="false">IF(B37="","",I37-H37)</f>
        <v/>
      </c>
      <c r="M37" s="26" t="str">
        <f aca="false">IF(B37="","",IF(H37=0,"",L37/H37))</f>
        <v/>
      </c>
      <c r="N37" s="26" t="str">
        <f aca="false">IF(B37="","",IF(J37=0,"",M37*365/J37))</f>
        <v/>
      </c>
      <c r="O37" s="27" t="str">
        <f aca="false">IF(B37="","",IFERROR(M37/INDEX(設定!$C$43:$C$45,MATCH(F37,設定!$B$43:$B$45,0)),""))</f>
        <v/>
      </c>
      <c r="P37" s="7" t="str">
        <f aca="false">IF(B37="","",IF(J37&lt;=設定!$C$6,IF(M37&gt;=設定!$C$7,"I(コア)","II(回転)"),IF(M37&gt;=設定!$C$7,"III(厳選)","IV(見送り)")))</f>
        <v/>
      </c>
      <c r="Q37" s="7" t="str">
        <f aca="false">IF(B37="","",IF(OR(P37="I(コア)",P37="II(回転)"),"仕入れ候補",IF(P37="III(厳選)","厳選検討（少数）","見送り")))</f>
        <v/>
      </c>
      <c r="R37" s="20"/>
    </row>
    <row r="38" customFormat="false" ht="15" hidden="false" customHeight="false" outlineLevel="0" collapsed="false">
      <c r="A38" s="18" t="str">
        <f aca="false">IF(B38="","",ROW()-12)</f>
        <v/>
      </c>
      <c r="B38" s="20"/>
      <c r="C38" s="20"/>
      <c r="D38" s="21"/>
      <c r="E38" s="20"/>
      <c r="F38" s="20"/>
      <c r="G38" s="22"/>
      <c r="H38" s="22"/>
      <c r="I38" s="22"/>
      <c r="J38" s="23"/>
      <c r="K38" s="24" t="str">
        <f aca="false">IF(B38="","",J38*IFERROR(INDEX(設定!$C$43:$C$45,MATCH(F38,設定!$B$43:$B$45,0)),1))</f>
        <v/>
      </c>
      <c r="L38" s="25" t="str">
        <f aca="false">IF(B38="","",I38-H38)</f>
        <v/>
      </c>
      <c r="M38" s="26" t="str">
        <f aca="false">IF(B38="","",IF(H38=0,"",L38/H38))</f>
        <v/>
      </c>
      <c r="N38" s="26" t="str">
        <f aca="false">IF(B38="","",IF(J38=0,"",M38*365/J38))</f>
        <v/>
      </c>
      <c r="O38" s="27" t="str">
        <f aca="false">IF(B38="","",IFERROR(M38/INDEX(設定!$C$43:$C$45,MATCH(F38,設定!$B$43:$B$45,0)),""))</f>
        <v/>
      </c>
      <c r="P38" s="7" t="str">
        <f aca="false">IF(B38="","",IF(J38&lt;=設定!$C$6,IF(M38&gt;=設定!$C$7,"I(コア)","II(回転)"),IF(M38&gt;=設定!$C$7,"III(厳選)","IV(見送り)")))</f>
        <v/>
      </c>
      <c r="Q38" s="7" t="str">
        <f aca="false">IF(B38="","",IF(OR(P38="I(コア)",P38="II(回転)"),"仕入れ候補",IF(P38="III(厳選)","厳選検討（少数）","見送り")))</f>
        <v/>
      </c>
      <c r="R38" s="20"/>
    </row>
    <row r="39" customFormat="false" ht="15" hidden="false" customHeight="false" outlineLevel="0" collapsed="false">
      <c r="A39" s="18" t="str">
        <f aca="false">IF(B39="","",ROW()-12)</f>
        <v/>
      </c>
      <c r="B39" s="20"/>
      <c r="C39" s="20"/>
      <c r="D39" s="21"/>
      <c r="E39" s="20"/>
      <c r="F39" s="20"/>
      <c r="G39" s="22"/>
      <c r="H39" s="22"/>
      <c r="I39" s="22"/>
      <c r="J39" s="23"/>
      <c r="K39" s="24" t="str">
        <f aca="false">IF(B39="","",J39*IFERROR(INDEX(設定!$C$43:$C$45,MATCH(F39,設定!$B$43:$B$45,0)),1))</f>
        <v/>
      </c>
      <c r="L39" s="25" t="str">
        <f aca="false">IF(B39="","",I39-H39)</f>
        <v/>
      </c>
      <c r="M39" s="26" t="str">
        <f aca="false">IF(B39="","",IF(H39=0,"",L39/H39))</f>
        <v/>
      </c>
      <c r="N39" s="26" t="str">
        <f aca="false">IF(B39="","",IF(J39=0,"",M39*365/J39))</f>
        <v/>
      </c>
      <c r="O39" s="27" t="str">
        <f aca="false">IF(B39="","",IFERROR(M39/INDEX(設定!$C$43:$C$45,MATCH(F39,設定!$B$43:$B$45,0)),""))</f>
        <v/>
      </c>
      <c r="P39" s="7" t="str">
        <f aca="false">IF(B39="","",IF(J39&lt;=設定!$C$6,IF(M39&gt;=設定!$C$7,"I(コア)","II(回転)"),IF(M39&gt;=設定!$C$7,"III(厳選)","IV(見送り)")))</f>
        <v/>
      </c>
      <c r="Q39" s="7" t="str">
        <f aca="false">IF(B39="","",IF(OR(P39="I(コア)",P39="II(回転)"),"仕入れ候補",IF(P39="III(厳選)","厳選検討（少数）","見送り")))</f>
        <v/>
      </c>
      <c r="R39" s="20"/>
    </row>
    <row r="40" customFormat="false" ht="15" hidden="false" customHeight="false" outlineLevel="0" collapsed="false">
      <c r="A40" s="18" t="str">
        <f aca="false">IF(B40="","",ROW()-12)</f>
        <v/>
      </c>
      <c r="B40" s="20"/>
      <c r="C40" s="20"/>
      <c r="D40" s="21"/>
      <c r="E40" s="20"/>
      <c r="F40" s="20"/>
      <c r="G40" s="22"/>
      <c r="H40" s="22"/>
      <c r="I40" s="22"/>
      <c r="J40" s="23"/>
      <c r="K40" s="24" t="str">
        <f aca="false">IF(B40="","",J40*IFERROR(INDEX(設定!$C$43:$C$45,MATCH(F40,設定!$B$43:$B$45,0)),1))</f>
        <v/>
      </c>
      <c r="L40" s="25" t="str">
        <f aca="false">IF(B40="","",I40-H40)</f>
        <v/>
      </c>
      <c r="M40" s="26" t="str">
        <f aca="false">IF(B40="","",IF(H40=0,"",L40/H40))</f>
        <v/>
      </c>
      <c r="N40" s="26" t="str">
        <f aca="false">IF(B40="","",IF(J40=0,"",M40*365/J40))</f>
        <v/>
      </c>
      <c r="O40" s="27" t="str">
        <f aca="false">IF(B40="","",IFERROR(M40/INDEX(設定!$C$43:$C$45,MATCH(F40,設定!$B$43:$B$45,0)),""))</f>
        <v/>
      </c>
      <c r="P40" s="7" t="str">
        <f aca="false">IF(B40="","",IF(J40&lt;=設定!$C$6,IF(M40&gt;=設定!$C$7,"I(コア)","II(回転)"),IF(M40&gt;=設定!$C$7,"III(厳選)","IV(見送り)")))</f>
        <v/>
      </c>
      <c r="Q40" s="7" t="str">
        <f aca="false">IF(B40="","",IF(OR(P40="I(コア)",P40="II(回転)"),"仕入れ候補",IF(P40="III(厳選)","厳選検討（少数）","見送り")))</f>
        <v/>
      </c>
      <c r="R40" s="20"/>
    </row>
    <row r="41" customFormat="false" ht="15" hidden="false" customHeight="false" outlineLevel="0" collapsed="false">
      <c r="A41" s="18" t="str">
        <f aca="false">IF(B41="","",ROW()-12)</f>
        <v/>
      </c>
      <c r="B41" s="20"/>
      <c r="C41" s="20"/>
      <c r="D41" s="21"/>
      <c r="E41" s="20"/>
      <c r="F41" s="20"/>
      <c r="G41" s="22"/>
      <c r="H41" s="22"/>
      <c r="I41" s="22"/>
      <c r="J41" s="23"/>
      <c r="K41" s="24" t="str">
        <f aca="false">IF(B41="","",J41*IFERROR(INDEX(設定!$C$43:$C$45,MATCH(F41,設定!$B$43:$B$45,0)),1))</f>
        <v/>
      </c>
      <c r="L41" s="25" t="str">
        <f aca="false">IF(B41="","",I41-H41)</f>
        <v/>
      </c>
      <c r="M41" s="26" t="str">
        <f aca="false">IF(B41="","",IF(H41=0,"",L41/H41))</f>
        <v/>
      </c>
      <c r="N41" s="26" t="str">
        <f aca="false">IF(B41="","",IF(J41=0,"",M41*365/J41))</f>
        <v/>
      </c>
      <c r="O41" s="27" t="str">
        <f aca="false">IF(B41="","",IFERROR(M41/INDEX(設定!$C$43:$C$45,MATCH(F41,設定!$B$43:$B$45,0)),""))</f>
        <v/>
      </c>
      <c r="P41" s="7" t="str">
        <f aca="false">IF(B41="","",IF(J41&lt;=設定!$C$6,IF(M41&gt;=設定!$C$7,"I(コア)","II(回転)"),IF(M41&gt;=設定!$C$7,"III(厳選)","IV(見送り)")))</f>
        <v/>
      </c>
      <c r="Q41" s="7" t="str">
        <f aca="false">IF(B41="","",IF(OR(P41="I(コア)",P41="II(回転)"),"仕入れ候補",IF(P41="III(厳選)","厳選検討（少数）","見送り")))</f>
        <v/>
      </c>
      <c r="R41" s="20"/>
    </row>
    <row r="42" customFormat="false" ht="15" hidden="false" customHeight="false" outlineLevel="0" collapsed="false">
      <c r="A42" s="18" t="str">
        <f aca="false">IF(B42="","",ROW()-12)</f>
        <v/>
      </c>
      <c r="B42" s="20"/>
      <c r="C42" s="20"/>
      <c r="D42" s="21"/>
      <c r="E42" s="20"/>
      <c r="F42" s="20"/>
      <c r="G42" s="22"/>
      <c r="H42" s="22"/>
      <c r="I42" s="22"/>
      <c r="J42" s="23"/>
      <c r="K42" s="24" t="str">
        <f aca="false">IF(B42="","",J42*IFERROR(INDEX(設定!$C$43:$C$45,MATCH(F42,設定!$B$43:$B$45,0)),1))</f>
        <v/>
      </c>
      <c r="L42" s="25" t="str">
        <f aca="false">IF(B42="","",I42-H42)</f>
        <v/>
      </c>
      <c r="M42" s="26" t="str">
        <f aca="false">IF(B42="","",IF(H42=0,"",L42/H42))</f>
        <v/>
      </c>
      <c r="N42" s="26" t="str">
        <f aca="false">IF(B42="","",IF(J42=0,"",M42*365/J42))</f>
        <v/>
      </c>
      <c r="O42" s="27" t="str">
        <f aca="false">IF(B42="","",IFERROR(M42/INDEX(設定!$C$43:$C$45,MATCH(F42,設定!$B$43:$B$45,0)),""))</f>
        <v/>
      </c>
      <c r="P42" s="7" t="str">
        <f aca="false">IF(B42="","",IF(J42&lt;=設定!$C$6,IF(M42&gt;=設定!$C$7,"I(コア)","II(回転)"),IF(M42&gt;=設定!$C$7,"III(厳選)","IV(見送り)")))</f>
        <v/>
      </c>
      <c r="Q42" s="7" t="str">
        <f aca="false">IF(B42="","",IF(OR(P42="I(コア)",P42="II(回転)"),"仕入れ候補",IF(P42="III(厳選)","厳選検討（少数）","見送り")))</f>
        <v/>
      </c>
      <c r="R42" s="20"/>
    </row>
    <row r="43" customFormat="false" ht="15" hidden="false" customHeight="false" outlineLevel="0" collapsed="false">
      <c r="A43" s="18" t="str">
        <f aca="false">IF(B43="","",ROW()-12)</f>
        <v/>
      </c>
      <c r="B43" s="20"/>
      <c r="C43" s="20"/>
      <c r="D43" s="21"/>
      <c r="E43" s="20"/>
      <c r="F43" s="20"/>
      <c r="G43" s="22"/>
      <c r="H43" s="22"/>
      <c r="I43" s="22"/>
      <c r="J43" s="23"/>
      <c r="K43" s="24" t="str">
        <f aca="false">IF(B43="","",J43*IFERROR(INDEX(設定!$C$43:$C$45,MATCH(F43,設定!$B$43:$B$45,0)),1))</f>
        <v/>
      </c>
      <c r="L43" s="25" t="str">
        <f aca="false">IF(B43="","",I43-H43)</f>
        <v/>
      </c>
      <c r="M43" s="26" t="str">
        <f aca="false">IF(B43="","",IF(H43=0,"",L43/H43))</f>
        <v/>
      </c>
      <c r="N43" s="26" t="str">
        <f aca="false">IF(B43="","",IF(J43=0,"",M43*365/J43))</f>
        <v/>
      </c>
      <c r="O43" s="27" t="str">
        <f aca="false">IF(B43="","",IFERROR(M43/INDEX(設定!$C$43:$C$45,MATCH(F43,設定!$B$43:$B$45,0)),""))</f>
        <v/>
      </c>
      <c r="P43" s="7" t="str">
        <f aca="false">IF(B43="","",IF(J43&lt;=設定!$C$6,IF(M43&gt;=設定!$C$7,"I(コア)","II(回転)"),IF(M43&gt;=設定!$C$7,"III(厳選)","IV(見送り)")))</f>
        <v/>
      </c>
      <c r="Q43" s="7" t="str">
        <f aca="false">IF(B43="","",IF(OR(P43="I(コア)",P43="II(回転)"),"仕入れ候補",IF(P43="III(厳選)","厳選検討（少数）","見送り")))</f>
        <v/>
      </c>
      <c r="R43" s="20"/>
    </row>
    <row r="44" customFormat="false" ht="15" hidden="false" customHeight="false" outlineLevel="0" collapsed="false">
      <c r="A44" s="18" t="str">
        <f aca="false">IF(B44="","",ROW()-12)</f>
        <v/>
      </c>
      <c r="B44" s="20"/>
      <c r="C44" s="20"/>
      <c r="D44" s="21"/>
      <c r="E44" s="20"/>
      <c r="F44" s="20"/>
      <c r="G44" s="22"/>
      <c r="H44" s="22"/>
      <c r="I44" s="22"/>
      <c r="J44" s="23"/>
      <c r="K44" s="24" t="str">
        <f aca="false">IF(B44="","",J44*IFERROR(INDEX(設定!$C$43:$C$45,MATCH(F44,設定!$B$43:$B$45,0)),1))</f>
        <v/>
      </c>
      <c r="L44" s="25" t="str">
        <f aca="false">IF(B44="","",I44-H44)</f>
        <v/>
      </c>
      <c r="M44" s="26" t="str">
        <f aca="false">IF(B44="","",IF(H44=0,"",L44/H44))</f>
        <v/>
      </c>
      <c r="N44" s="26" t="str">
        <f aca="false">IF(B44="","",IF(J44=0,"",M44*365/J44))</f>
        <v/>
      </c>
      <c r="O44" s="27" t="str">
        <f aca="false">IF(B44="","",IFERROR(M44/INDEX(設定!$C$43:$C$45,MATCH(F44,設定!$B$43:$B$45,0)),""))</f>
        <v/>
      </c>
      <c r="P44" s="7" t="str">
        <f aca="false">IF(B44="","",IF(J44&lt;=設定!$C$6,IF(M44&gt;=設定!$C$7,"I(コア)","II(回転)"),IF(M44&gt;=設定!$C$7,"III(厳選)","IV(見送り)")))</f>
        <v/>
      </c>
      <c r="Q44" s="7" t="str">
        <f aca="false">IF(B44="","",IF(OR(P44="I(コア)",P44="II(回転)"),"仕入れ候補",IF(P44="III(厳選)","厳選検討（少数）","見送り")))</f>
        <v/>
      </c>
      <c r="R44" s="20"/>
    </row>
    <row r="45" customFormat="false" ht="15" hidden="false" customHeight="false" outlineLevel="0" collapsed="false">
      <c r="A45" s="18" t="str">
        <f aca="false">IF(B45="","",ROW()-12)</f>
        <v/>
      </c>
      <c r="B45" s="20"/>
      <c r="C45" s="20"/>
      <c r="D45" s="21"/>
      <c r="E45" s="20"/>
      <c r="F45" s="20"/>
      <c r="G45" s="22"/>
      <c r="H45" s="22"/>
      <c r="I45" s="22"/>
      <c r="J45" s="23"/>
      <c r="K45" s="24" t="str">
        <f aca="false">IF(B45="","",J45*IFERROR(INDEX(設定!$C$43:$C$45,MATCH(F45,設定!$B$43:$B$45,0)),1))</f>
        <v/>
      </c>
      <c r="L45" s="25" t="str">
        <f aca="false">IF(B45="","",I45-H45)</f>
        <v/>
      </c>
      <c r="M45" s="26" t="str">
        <f aca="false">IF(B45="","",IF(H45=0,"",L45/H45))</f>
        <v/>
      </c>
      <c r="N45" s="26" t="str">
        <f aca="false">IF(B45="","",IF(J45=0,"",M45*365/J45))</f>
        <v/>
      </c>
      <c r="O45" s="27" t="str">
        <f aca="false">IF(B45="","",IFERROR(M45/INDEX(設定!$C$43:$C$45,MATCH(F45,設定!$B$43:$B$45,0)),""))</f>
        <v/>
      </c>
      <c r="P45" s="7" t="str">
        <f aca="false">IF(B45="","",IF(J45&lt;=設定!$C$6,IF(M45&gt;=設定!$C$7,"I(コア)","II(回転)"),IF(M45&gt;=設定!$C$7,"III(厳選)","IV(見送り)")))</f>
        <v/>
      </c>
      <c r="Q45" s="7" t="str">
        <f aca="false">IF(B45="","",IF(OR(P45="I(コア)",P45="II(回転)"),"仕入れ候補",IF(P45="III(厳選)","厳選検討（少数）","見送り")))</f>
        <v/>
      </c>
      <c r="R45" s="20"/>
    </row>
    <row r="46" customFormat="false" ht="15" hidden="false" customHeight="false" outlineLevel="0" collapsed="false">
      <c r="A46" s="18" t="str">
        <f aca="false">IF(B46="","",ROW()-12)</f>
        <v/>
      </c>
      <c r="B46" s="20"/>
      <c r="C46" s="20"/>
      <c r="D46" s="21"/>
      <c r="E46" s="20"/>
      <c r="F46" s="20"/>
      <c r="G46" s="22"/>
      <c r="H46" s="22"/>
      <c r="I46" s="22"/>
      <c r="J46" s="23"/>
      <c r="K46" s="24" t="str">
        <f aca="false">IF(B46="","",J46*IFERROR(INDEX(設定!$C$43:$C$45,MATCH(F46,設定!$B$43:$B$45,0)),1))</f>
        <v/>
      </c>
      <c r="L46" s="25" t="str">
        <f aca="false">IF(B46="","",I46-H46)</f>
        <v/>
      </c>
      <c r="M46" s="26" t="str">
        <f aca="false">IF(B46="","",IF(H46=0,"",L46/H46))</f>
        <v/>
      </c>
      <c r="N46" s="26" t="str">
        <f aca="false">IF(B46="","",IF(J46=0,"",M46*365/J46))</f>
        <v/>
      </c>
      <c r="O46" s="27" t="str">
        <f aca="false">IF(B46="","",IFERROR(M46/INDEX(設定!$C$43:$C$45,MATCH(F46,設定!$B$43:$B$45,0)),""))</f>
        <v/>
      </c>
      <c r="P46" s="7" t="str">
        <f aca="false">IF(B46="","",IF(J46&lt;=設定!$C$6,IF(M46&gt;=設定!$C$7,"I(コア)","II(回転)"),IF(M46&gt;=設定!$C$7,"III(厳選)","IV(見送り)")))</f>
        <v/>
      </c>
      <c r="Q46" s="7" t="str">
        <f aca="false">IF(B46="","",IF(OR(P46="I(コア)",P46="II(回転)"),"仕入れ候補",IF(P46="III(厳選)","厳選検討（少数）","見送り")))</f>
        <v/>
      </c>
      <c r="R46" s="20"/>
    </row>
    <row r="47" customFormat="false" ht="15" hidden="false" customHeight="false" outlineLevel="0" collapsed="false">
      <c r="A47" s="18" t="str">
        <f aca="false">IF(B47="","",ROW()-12)</f>
        <v/>
      </c>
      <c r="B47" s="20"/>
      <c r="C47" s="20"/>
      <c r="D47" s="21"/>
      <c r="E47" s="20"/>
      <c r="F47" s="20"/>
      <c r="G47" s="22"/>
      <c r="H47" s="22"/>
      <c r="I47" s="22"/>
      <c r="J47" s="23"/>
      <c r="K47" s="24" t="str">
        <f aca="false">IF(B47="","",J47*IFERROR(INDEX(設定!$C$43:$C$45,MATCH(F47,設定!$B$43:$B$45,0)),1))</f>
        <v/>
      </c>
      <c r="L47" s="25" t="str">
        <f aca="false">IF(B47="","",I47-H47)</f>
        <v/>
      </c>
      <c r="M47" s="26" t="str">
        <f aca="false">IF(B47="","",IF(H47=0,"",L47/H47))</f>
        <v/>
      </c>
      <c r="N47" s="26" t="str">
        <f aca="false">IF(B47="","",IF(J47=0,"",M47*365/J47))</f>
        <v/>
      </c>
      <c r="O47" s="27" t="str">
        <f aca="false">IF(B47="","",IFERROR(M47/INDEX(設定!$C$43:$C$45,MATCH(F47,設定!$B$43:$B$45,0)),""))</f>
        <v/>
      </c>
      <c r="P47" s="7" t="str">
        <f aca="false">IF(B47="","",IF(J47&lt;=設定!$C$6,IF(M47&gt;=設定!$C$7,"I(コア)","II(回転)"),IF(M47&gt;=設定!$C$7,"III(厳選)","IV(見送り)")))</f>
        <v/>
      </c>
      <c r="Q47" s="7" t="str">
        <f aca="false">IF(B47="","",IF(OR(P47="I(コア)",P47="II(回転)"),"仕入れ候補",IF(P47="III(厳選)","厳選検討（少数）","見送り")))</f>
        <v/>
      </c>
      <c r="R47" s="20"/>
    </row>
    <row r="48" customFormat="false" ht="15" hidden="false" customHeight="false" outlineLevel="0" collapsed="false">
      <c r="A48" s="18" t="str">
        <f aca="false">IF(B48="","",ROW()-12)</f>
        <v/>
      </c>
      <c r="B48" s="20"/>
      <c r="C48" s="20"/>
      <c r="D48" s="21"/>
      <c r="E48" s="20"/>
      <c r="F48" s="20"/>
      <c r="G48" s="22"/>
      <c r="H48" s="22"/>
      <c r="I48" s="22"/>
      <c r="J48" s="23"/>
      <c r="K48" s="24" t="str">
        <f aca="false">IF(B48="","",J48*IFERROR(INDEX(設定!$C$43:$C$45,MATCH(F48,設定!$B$43:$B$45,0)),1))</f>
        <v/>
      </c>
      <c r="L48" s="25" t="str">
        <f aca="false">IF(B48="","",I48-H48)</f>
        <v/>
      </c>
      <c r="M48" s="26" t="str">
        <f aca="false">IF(B48="","",IF(H48=0,"",L48/H48))</f>
        <v/>
      </c>
      <c r="N48" s="26" t="str">
        <f aca="false">IF(B48="","",IF(J48=0,"",M48*365/J48))</f>
        <v/>
      </c>
      <c r="O48" s="27" t="str">
        <f aca="false">IF(B48="","",IFERROR(M48/INDEX(設定!$C$43:$C$45,MATCH(F48,設定!$B$43:$B$45,0)),""))</f>
        <v/>
      </c>
      <c r="P48" s="7" t="str">
        <f aca="false">IF(B48="","",IF(J48&lt;=設定!$C$6,IF(M48&gt;=設定!$C$7,"I(コア)","II(回転)"),IF(M48&gt;=設定!$C$7,"III(厳選)","IV(見送り)")))</f>
        <v/>
      </c>
      <c r="Q48" s="7" t="str">
        <f aca="false">IF(B48="","",IF(OR(P48="I(コア)",P48="II(回転)"),"仕入れ候補",IF(P48="III(厳選)","厳選検討（少数）","見送り")))</f>
        <v/>
      </c>
      <c r="R48" s="20"/>
    </row>
    <row r="49" customFormat="false" ht="15" hidden="false" customHeight="false" outlineLevel="0" collapsed="false">
      <c r="A49" s="18" t="str">
        <f aca="false">IF(B49="","",ROW()-12)</f>
        <v/>
      </c>
      <c r="B49" s="20"/>
      <c r="C49" s="20"/>
      <c r="D49" s="21"/>
      <c r="E49" s="20"/>
      <c r="F49" s="20"/>
      <c r="G49" s="22"/>
      <c r="H49" s="22"/>
      <c r="I49" s="22"/>
      <c r="J49" s="23"/>
      <c r="K49" s="24" t="str">
        <f aca="false">IF(B49="","",J49*IFERROR(INDEX(設定!$C$43:$C$45,MATCH(F49,設定!$B$43:$B$45,0)),1))</f>
        <v/>
      </c>
      <c r="L49" s="25" t="str">
        <f aca="false">IF(B49="","",I49-H49)</f>
        <v/>
      </c>
      <c r="M49" s="26" t="str">
        <f aca="false">IF(B49="","",IF(H49=0,"",L49/H49))</f>
        <v/>
      </c>
      <c r="N49" s="26" t="str">
        <f aca="false">IF(B49="","",IF(J49=0,"",M49*365/J49))</f>
        <v/>
      </c>
      <c r="O49" s="27" t="str">
        <f aca="false">IF(B49="","",IFERROR(M49/INDEX(設定!$C$43:$C$45,MATCH(F49,設定!$B$43:$B$45,0)),""))</f>
        <v/>
      </c>
      <c r="P49" s="7" t="str">
        <f aca="false">IF(B49="","",IF(J49&lt;=設定!$C$6,IF(M49&gt;=設定!$C$7,"I(コア)","II(回転)"),IF(M49&gt;=設定!$C$7,"III(厳選)","IV(見送り)")))</f>
        <v/>
      </c>
      <c r="Q49" s="7" t="str">
        <f aca="false">IF(B49="","",IF(OR(P49="I(コア)",P49="II(回転)"),"仕入れ候補",IF(P49="III(厳選)","厳選検討（少数）","見送り")))</f>
        <v/>
      </c>
      <c r="R49" s="20"/>
    </row>
    <row r="50" customFormat="false" ht="15" hidden="false" customHeight="false" outlineLevel="0" collapsed="false">
      <c r="A50" s="18" t="str">
        <f aca="false">IF(B50="","",ROW()-12)</f>
        <v/>
      </c>
      <c r="B50" s="20"/>
      <c r="C50" s="20"/>
      <c r="D50" s="21"/>
      <c r="E50" s="20"/>
      <c r="F50" s="20"/>
      <c r="G50" s="22"/>
      <c r="H50" s="22"/>
      <c r="I50" s="22"/>
      <c r="J50" s="23"/>
      <c r="K50" s="24" t="str">
        <f aca="false">IF(B50="","",J50*IFERROR(INDEX(設定!$C$43:$C$45,MATCH(F50,設定!$B$43:$B$45,0)),1))</f>
        <v/>
      </c>
      <c r="L50" s="25" t="str">
        <f aca="false">IF(B50="","",I50-H50)</f>
        <v/>
      </c>
      <c r="M50" s="26" t="str">
        <f aca="false">IF(B50="","",IF(H50=0,"",L50/H50))</f>
        <v/>
      </c>
      <c r="N50" s="26" t="str">
        <f aca="false">IF(B50="","",IF(J50=0,"",M50*365/J50))</f>
        <v/>
      </c>
      <c r="O50" s="27" t="str">
        <f aca="false">IF(B50="","",IFERROR(M50/INDEX(設定!$C$43:$C$45,MATCH(F50,設定!$B$43:$B$45,0)),""))</f>
        <v/>
      </c>
      <c r="P50" s="7" t="str">
        <f aca="false">IF(B50="","",IF(J50&lt;=設定!$C$6,IF(M50&gt;=設定!$C$7,"I(コア)","II(回転)"),IF(M50&gt;=設定!$C$7,"III(厳選)","IV(見送り)")))</f>
        <v/>
      </c>
      <c r="Q50" s="7" t="str">
        <f aca="false">IF(B50="","",IF(OR(P50="I(コア)",P50="II(回転)"),"仕入れ候補",IF(P50="III(厳選)","厳選検討（少数）","見送り")))</f>
        <v/>
      </c>
      <c r="R50" s="20"/>
    </row>
    <row r="51" customFormat="false" ht="15" hidden="false" customHeight="false" outlineLevel="0" collapsed="false">
      <c r="A51" s="18" t="str">
        <f aca="false">IF(B51="","",ROW()-12)</f>
        <v/>
      </c>
      <c r="B51" s="20"/>
      <c r="C51" s="20"/>
      <c r="D51" s="21"/>
      <c r="E51" s="20"/>
      <c r="F51" s="20"/>
      <c r="G51" s="22"/>
      <c r="H51" s="22"/>
      <c r="I51" s="22"/>
      <c r="J51" s="23"/>
      <c r="K51" s="24" t="str">
        <f aca="false">IF(B51="","",J51*IFERROR(INDEX(設定!$C$43:$C$45,MATCH(F51,設定!$B$43:$B$45,0)),1))</f>
        <v/>
      </c>
      <c r="L51" s="25" t="str">
        <f aca="false">IF(B51="","",I51-H51)</f>
        <v/>
      </c>
      <c r="M51" s="26" t="str">
        <f aca="false">IF(B51="","",IF(H51=0,"",L51/H51))</f>
        <v/>
      </c>
      <c r="N51" s="26" t="str">
        <f aca="false">IF(B51="","",IF(J51=0,"",M51*365/J51))</f>
        <v/>
      </c>
      <c r="O51" s="27" t="str">
        <f aca="false">IF(B51="","",IFERROR(M51/INDEX(設定!$C$43:$C$45,MATCH(F51,設定!$B$43:$B$45,0)),""))</f>
        <v/>
      </c>
      <c r="P51" s="7" t="str">
        <f aca="false">IF(B51="","",IF(J51&lt;=設定!$C$6,IF(M51&gt;=設定!$C$7,"I(コア)","II(回転)"),IF(M51&gt;=設定!$C$7,"III(厳選)","IV(見送り)")))</f>
        <v/>
      </c>
      <c r="Q51" s="7" t="str">
        <f aca="false">IF(B51="","",IF(OR(P51="I(コア)",P51="II(回転)"),"仕入れ候補",IF(P51="III(厳選)","厳選検討（少数）","見送り")))</f>
        <v/>
      </c>
      <c r="R51" s="20"/>
    </row>
    <row r="52" customFormat="false" ht="15" hidden="false" customHeight="false" outlineLevel="0" collapsed="false">
      <c r="A52" s="18" t="str">
        <f aca="false">IF(B52="","",ROW()-12)</f>
        <v/>
      </c>
      <c r="B52" s="20"/>
      <c r="C52" s="20"/>
      <c r="D52" s="21"/>
      <c r="E52" s="20"/>
      <c r="F52" s="20"/>
      <c r="G52" s="22"/>
      <c r="H52" s="22"/>
      <c r="I52" s="22"/>
      <c r="J52" s="23"/>
      <c r="K52" s="24" t="str">
        <f aca="false">IF(B52="","",J52*IFERROR(INDEX(設定!$C$43:$C$45,MATCH(F52,設定!$B$43:$B$45,0)),1))</f>
        <v/>
      </c>
      <c r="L52" s="25" t="str">
        <f aca="false">IF(B52="","",I52-H52)</f>
        <v/>
      </c>
      <c r="M52" s="26" t="str">
        <f aca="false">IF(B52="","",IF(H52=0,"",L52/H52))</f>
        <v/>
      </c>
      <c r="N52" s="26" t="str">
        <f aca="false">IF(B52="","",IF(J52=0,"",M52*365/J52))</f>
        <v/>
      </c>
      <c r="O52" s="27" t="str">
        <f aca="false">IF(B52="","",IFERROR(M52/INDEX(設定!$C$43:$C$45,MATCH(F52,設定!$B$43:$B$45,0)),""))</f>
        <v/>
      </c>
      <c r="P52" s="7" t="str">
        <f aca="false">IF(B52="","",IF(J52&lt;=設定!$C$6,IF(M52&gt;=設定!$C$7,"I(コア)","II(回転)"),IF(M52&gt;=設定!$C$7,"III(厳選)","IV(見送り)")))</f>
        <v/>
      </c>
      <c r="Q52" s="7" t="str">
        <f aca="false">IF(B52="","",IF(OR(P52="I(コア)",P52="II(回転)"),"仕入れ候補",IF(P52="III(厳選)","厳選検討（少数）","見送り")))</f>
        <v/>
      </c>
      <c r="R52" s="20"/>
    </row>
    <row r="53" customFormat="false" ht="15" hidden="false" customHeight="false" outlineLevel="0" collapsed="false">
      <c r="A53" s="18" t="str">
        <f aca="false">IF(B53="","",ROW()-12)</f>
        <v/>
      </c>
      <c r="B53" s="20"/>
      <c r="C53" s="20"/>
      <c r="D53" s="21"/>
      <c r="E53" s="20"/>
      <c r="F53" s="20"/>
      <c r="G53" s="22"/>
      <c r="H53" s="22"/>
      <c r="I53" s="22"/>
      <c r="J53" s="23"/>
      <c r="K53" s="24" t="str">
        <f aca="false">IF(B53="","",J53*IFERROR(INDEX(設定!$C$43:$C$45,MATCH(F53,設定!$B$43:$B$45,0)),1))</f>
        <v/>
      </c>
      <c r="L53" s="25" t="str">
        <f aca="false">IF(B53="","",I53-H53)</f>
        <v/>
      </c>
      <c r="M53" s="26" t="str">
        <f aca="false">IF(B53="","",IF(H53=0,"",L53/H53))</f>
        <v/>
      </c>
      <c r="N53" s="26" t="str">
        <f aca="false">IF(B53="","",IF(J53=0,"",M53*365/J53))</f>
        <v/>
      </c>
      <c r="O53" s="27" t="str">
        <f aca="false">IF(B53="","",IFERROR(M53/INDEX(設定!$C$43:$C$45,MATCH(F53,設定!$B$43:$B$45,0)),""))</f>
        <v/>
      </c>
      <c r="P53" s="7" t="str">
        <f aca="false">IF(B53="","",IF(J53&lt;=設定!$C$6,IF(M53&gt;=設定!$C$7,"I(コア)","II(回転)"),IF(M53&gt;=設定!$C$7,"III(厳選)","IV(見送り)")))</f>
        <v/>
      </c>
      <c r="Q53" s="7" t="str">
        <f aca="false">IF(B53="","",IF(OR(P53="I(コア)",P53="II(回転)"),"仕入れ候補",IF(P53="III(厳選)","厳選検討（少数）","見送り")))</f>
        <v/>
      </c>
      <c r="R53" s="20"/>
    </row>
    <row r="54" customFormat="false" ht="15" hidden="false" customHeight="false" outlineLevel="0" collapsed="false">
      <c r="A54" s="18" t="str">
        <f aca="false">IF(B54="","",ROW()-12)</f>
        <v/>
      </c>
      <c r="B54" s="20"/>
      <c r="C54" s="20"/>
      <c r="D54" s="21"/>
      <c r="E54" s="20"/>
      <c r="F54" s="20"/>
      <c r="G54" s="22"/>
      <c r="H54" s="22"/>
      <c r="I54" s="22"/>
      <c r="J54" s="23"/>
      <c r="K54" s="24" t="str">
        <f aca="false">IF(B54="","",J54*IFERROR(INDEX(設定!$C$43:$C$45,MATCH(F54,設定!$B$43:$B$45,0)),1))</f>
        <v/>
      </c>
      <c r="L54" s="25" t="str">
        <f aca="false">IF(B54="","",I54-H54)</f>
        <v/>
      </c>
      <c r="M54" s="26" t="str">
        <f aca="false">IF(B54="","",IF(H54=0,"",L54/H54))</f>
        <v/>
      </c>
      <c r="N54" s="26" t="str">
        <f aca="false">IF(B54="","",IF(J54=0,"",M54*365/J54))</f>
        <v/>
      </c>
      <c r="O54" s="27" t="str">
        <f aca="false">IF(B54="","",IFERROR(M54/INDEX(設定!$C$43:$C$45,MATCH(F54,設定!$B$43:$B$45,0)),""))</f>
        <v/>
      </c>
      <c r="P54" s="7" t="str">
        <f aca="false">IF(B54="","",IF(J54&lt;=設定!$C$6,IF(M54&gt;=設定!$C$7,"I(コア)","II(回転)"),IF(M54&gt;=設定!$C$7,"III(厳選)","IV(見送り)")))</f>
        <v/>
      </c>
      <c r="Q54" s="7" t="str">
        <f aca="false">IF(B54="","",IF(OR(P54="I(コア)",P54="II(回転)"),"仕入れ候補",IF(P54="III(厳選)","厳選検討（少数）","見送り")))</f>
        <v/>
      </c>
      <c r="R54" s="20"/>
    </row>
    <row r="55" customFormat="false" ht="15" hidden="false" customHeight="false" outlineLevel="0" collapsed="false">
      <c r="A55" s="18" t="str">
        <f aca="false">IF(B55="","",ROW()-12)</f>
        <v/>
      </c>
      <c r="B55" s="20"/>
      <c r="C55" s="20"/>
      <c r="D55" s="21"/>
      <c r="E55" s="20"/>
      <c r="F55" s="20"/>
      <c r="G55" s="22"/>
      <c r="H55" s="22"/>
      <c r="I55" s="22"/>
      <c r="J55" s="23"/>
      <c r="K55" s="24" t="str">
        <f aca="false">IF(B55="","",J55*IFERROR(INDEX(設定!$C$43:$C$45,MATCH(F55,設定!$B$43:$B$45,0)),1))</f>
        <v/>
      </c>
      <c r="L55" s="25" t="str">
        <f aca="false">IF(B55="","",I55-H55)</f>
        <v/>
      </c>
      <c r="M55" s="26" t="str">
        <f aca="false">IF(B55="","",IF(H55=0,"",L55/H55))</f>
        <v/>
      </c>
      <c r="N55" s="26" t="str">
        <f aca="false">IF(B55="","",IF(J55=0,"",M55*365/J55))</f>
        <v/>
      </c>
      <c r="O55" s="27" t="str">
        <f aca="false">IF(B55="","",IFERROR(M55/INDEX(設定!$C$43:$C$45,MATCH(F55,設定!$B$43:$B$45,0)),""))</f>
        <v/>
      </c>
      <c r="P55" s="7" t="str">
        <f aca="false">IF(B55="","",IF(J55&lt;=設定!$C$6,IF(M55&gt;=設定!$C$7,"I(コア)","II(回転)"),IF(M55&gt;=設定!$C$7,"III(厳選)","IV(見送り)")))</f>
        <v/>
      </c>
      <c r="Q55" s="7" t="str">
        <f aca="false">IF(B55="","",IF(OR(P55="I(コア)",P55="II(回転)"),"仕入れ候補",IF(P55="III(厳選)","厳選検討（少数）","見送り")))</f>
        <v/>
      </c>
      <c r="R55" s="20"/>
    </row>
    <row r="56" customFormat="false" ht="15" hidden="false" customHeight="false" outlineLevel="0" collapsed="false">
      <c r="A56" s="18" t="str">
        <f aca="false">IF(B56="","",ROW()-12)</f>
        <v/>
      </c>
      <c r="B56" s="20"/>
      <c r="C56" s="20"/>
      <c r="D56" s="21"/>
      <c r="E56" s="20"/>
      <c r="F56" s="20"/>
      <c r="G56" s="22"/>
      <c r="H56" s="22"/>
      <c r="I56" s="22"/>
      <c r="J56" s="23"/>
      <c r="K56" s="24" t="str">
        <f aca="false">IF(B56="","",J56*IFERROR(INDEX(設定!$C$43:$C$45,MATCH(F56,設定!$B$43:$B$45,0)),1))</f>
        <v/>
      </c>
      <c r="L56" s="25" t="str">
        <f aca="false">IF(B56="","",I56-H56)</f>
        <v/>
      </c>
      <c r="M56" s="26" t="str">
        <f aca="false">IF(B56="","",IF(H56=0,"",L56/H56))</f>
        <v/>
      </c>
      <c r="N56" s="26" t="str">
        <f aca="false">IF(B56="","",IF(J56=0,"",M56*365/J56))</f>
        <v/>
      </c>
      <c r="O56" s="27" t="str">
        <f aca="false">IF(B56="","",IFERROR(M56/INDEX(設定!$C$43:$C$45,MATCH(F56,設定!$B$43:$B$45,0)),""))</f>
        <v/>
      </c>
      <c r="P56" s="7" t="str">
        <f aca="false">IF(B56="","",IF(J56&lt;=設定!$C$6,IF(M56&gt;=設定!$C$7,"I(コア)","II(回転)"),IF(M56&gt;=設定!$C$7,"III(厳選)","IV(見送り)")))</f>
        <v/>
      </c>
      <c r="Q56" s="7" t="str">
        <f aca="false">IF(B56="","",IF(OR(P56="I(コア)",P56="II(回転)"),"仕入れ候補",IF(P56="III(厳選)","厳選検討（少数）","見送り")))</f>
        <v/>
      </c>
      <c r="R56" s="20"/>
    </row>
    <row r="57" customFormat="false" ht="15" hidden="false" customHeight="false" outlineLevel="0" collapsed="false">
      <c r="A57" s="18" t="str">
        <f aca="false">IF(B57="","",ROW()-12)</f>
        <v/>
      </c>
      <c r="B57" s="20"/>
      <c r="C57" s="20"/>
      <c r="D57" s="21"/>
      <c r="E57" s="20"/>
      <c r="F57" s="20"/>
      <c r="G57" s="22"/>
      <c r="H57" s="22"/>
      <c r="I57" s="22"/>
      <c r="J57" s="23"/>
      <c r="K57" s="24" t="str">
        <f aca="false">IF(B57="","",J57*IFERROR(INDEX(設定!$C$43:$C$45,MATCH(F57,設定!$B$43:$B$45,0)),1))</f>
        <v/>
      </c>
      <c r="L57" s="25" t="str">
        <f aca="false">IF(B57="","",I57-H57)</f>
        <v/>
      </c>
      <c r="M57" s="26" t="str">
        <f aca="false">IF(B57="","",IF(H57=0,"",L57/H57))</f>
        <v/>
      </c>
      <c r="N57" s="26" t="str">
        <f aca="false">IF(B57="","",IF(J57=0,"",M57*365/J57))</f>
        <v/>
      </c>
      <c r="O57" s="27" t="str">
        <f aca="false">IF(B57="","",IFERROR(M57/INDEX(設定!$C$43:$C$45,MATCH(F57,設定!$B$43:$B$45,0)),""))</f>
        <v/>
      </c>
      <c r="P57" s="7" t="str">
        <f aca="false">IF(B57="","",IF(J57&lt;=設定!$C$6,IF(M57&gt;=設定!$C$7,"I(コア)","II(回転)"),IF(M57&gt;=設定!$C$7,"III(厳選)","IV(見送り)")))</f>
        <v/>
      </c>
      <c r="Q57" s="7" t="str">
        <f aca="false">IF(B57="","",IF(OR(P57="I(コア)",P57="II(回転)"),"仕入れ候補",IF(P57="III(厳選)","厳選検討（少数）","見送り")))</f>
        <v/>
      </c>
      <c r="R57" s="20"/>
    </row>
    <row r="58" customFormat="false" ht="15" hidden="false" customHeight="false" outlineLevel="0" collapsed="false">
      <c r="A58" s="18" t="str">
        <f aca="false">IF(B58="","",ROW()-12)</f>
        <v/>
      </c>
      <c r="B58" s="20"/>
      <c r="C58" s="20"/>
      <c r="D58" s="21"/>
      <c r="E58" s="20"/>
      <c r="F58" s="20"/>
      <c r="G58" s="22"/>
      <c r="H58" s="22"/>
      <c r="I58" s="22"/>
      <c r="J58" s="23"/>
      <c r="K58" s="24" t="str">
        <f aca="false">IF(B58="","",J58*IFERROR(INDEX(設定!$C$43:$C$45,MATCH(F58,設定!$B$43:$B$45,0)),1))</f>
        <v/>
      </c>
      <c r="L58" s="25" t="str">
        <f aca="false">IF(B58="","",I58-H58)</f>
        <v/>
      </c>
      <c r="M58" s="26" t="str">
        <f aca="false">IF(B58="","",IF(H58=0,"",L58/H58))</f>
        <v/>
      </c>
      <c r="N58" s="26" t="str">
        <f aca="false">IF(B58="","",IF(J58=0,"",M58*365/J58))</f>
        <v/>
      </c>
      <c r="O58" s="27" t="str">
        <f aca="false">IF(B58="","",IFERROR(M58/INDEX(設定!$C$43:$C$45,MATCH(F58,設定!$B$43:$B$45,0)),""))</f>
        <v/>
      </c>
      <c r="P58" s="7" t="str">
        <f aca="false">IF(B58="","",IF(J58&lt;=設定!$C$6,IF(M58&gt;=設定!$C$7,"I(コア)","II(回転)"),IF(M58&gt;=設定!$C$7,"III(厳選)","IV(見送り)")))</f>
        <v/>
      </c>
      <c r="Q58" s="7" t="str">
        <f aca="false">IF(B58="","",IF(OR(P58="I(コア)",P58="II(回転)"),"仕入れ候補",IF(P58="III(厳選)","厳選検討（少数）","見送り")))</f>
        <v/>
      </c>
      <c r="R58" s="20"/>
    </row>
    <row r="59" customFormat="false" ht="15" hidden="false" customHeight="false" outlineLevel="0" collapsed="false">
      <c r="A59" s="18" t="str">
        <f aca="false">IF(B59="","",ROW()-12)</f>
        <v/>
      </c>
      <c r="B59" s="20"/>
      <c r="C59" s="20"/>
      <c r="D59" s="21"/>
      <c r="E59" s="20"/>
      <c r="F59" s="20"/>
      <c r="G59" s="22"/>
      <c r="H59" s="22"/>
      <c r="I59" s="22"/>
      <c r="J59" s="23"/>
      <c r="K59" s="24" t="str">
        <f aca="false">IF(B59="","",J59*IFERROR(INDEX(設定!$C$43:$C$45,MATCH(F59,設定!$B$43:$B$45,0)),1))</f>
        <v/>
      </c>
      <c r="L59" s="25" t="str">
        <f aca="false">IF(B59="","",I59-H59)</f>
        <v/>
      </c>
      <c r="M59" s="26" t="str">
        <f aca="false">IF(B59="","",IF(H59=0,"",L59/H59))</f>
        <v/>
      </c>
      <c r="N59" s="26" t="str">
        <f aca="false">IF(B59="","",IF(J59=0,"",M59*365/J59))</f>
        <v/>
      </c>
      <c r="O59" s="27" t="str">
        <f aca="false">IF(B59="","",IFERROR(M59/INDEX(設定!$C$43:$C$45,MATCH(F59,設定!$B$43:$B$45,0)),""))</f>
        <v/>
      </c>
      <c r="P59" s="7" t="str">
        <f aca="false">IF(B59="","",IF(J59&lt;=設定!$C$6,IF(M59&gt;=設定!$C$7,"I(コア)","II(回転)"),IF(M59&gt;=設定!$C$7,"III(厳選)","IV(見送り)")))</f>
        <v/>
      </c>
      <c r="Q59" s="7" t="str">
        <f aca="false">IF(B59="","",IF(OR(P59="I(コア)",P59="II(回転)"),"仕入れ候補",IF(P59="III(厳選)","厳選検討（少数）","見送り")))</f>
        <v/>
      </c>
      <c r="R59" s="20"/>
    </row>
    <row r="60" customFormat="false" ht="15" hidden="false" customHeight="false" outlineLevel="0" collapsed="false">
      <c r="A60" s="18" t="str">
        <f aca="false">IF(B60="","",ROW()-12)</f>
        <v/>
      </c>
      <c r="B60" s="20"/>
      <c r="C60" s="20"/>
      <c r="D60" s="21"/>
      <c r="E60" s="20"/>
      <c r="F60" s="20"/>
      <c r="G60" s="22"/>
      <c r="H60" s="22"/>
      <c r="I60" s="22"/>
      <c r="J60" s="23"/>
      <c r="K60" s="24" t="str">
        <f aca="false">IF(B60="","",J60*IFERROR(INDEX(設定!$C$43:$C$45,MATCH(F60,設定!$B$43:$B$45,0)),1))</f>
        <v/>
      </c>
      <c r="L60" s="25" t="str">
        <f aca="false">IF(B60="","",I60-H60)</f>
        <v/>
      </c>
      <c r="M60" s="26" t="str">
        <f aca="false">IF(B60="","",IF(H60=0,"",L60/H60))</f>
        <v/>
      </c>
      <c r="N60" s="26" t="str">
        <f aca="false">IF(B60="","",IF(J60=0,"",M60*365/J60))</f>
        <v/>
      </c>
      <c r="O60" s="27" t="str">
        <f aca="false">IF(B60="","",IFERROR(M60/INDEX(設定!$C$43:$C$45,MATCH(F60,設定!$B$43:$B$45,0)),""))</f>
        <v/>
      </c>
      <c r="P60" s="7" t="str">
        <f aca="false">IF(B60="","",IF(J60&lt;=設定!$C$6,IF(M60&gt;=設定!$C$7,"I(コア)","II(回転)"),IF(M60&gt;=設定!$C$7,"III(厳選)","IV(見送り)")))</f>
        <v/>
      </c>
      <c r="Q60" s="7" t="str">
        <f aca="false">IF(B60="","",IF(OR(P60="I(コア)",P60="II(回転)"),"仕入れ候補",IF(P60="III(厳選)","厳選検討（少数）","見送り")))</f>
        <v/>
      </c>
      <c r="R60" s="20"/>
    </row>
    <row r="61" customFormat="false" ht="15" hidden="false" customHeight="false" outlineLevel="0" collapsed="false">
      <c r="A61" s="18" t="str">
        <f aca="false">IF(B61="","",ROW()-12)</f>
        <v/>
      </c>
      <c r="B61" s="20"/>
      <c r="C61" s="20"/>
      <c r="D61" s="21"/>
      <c r="E61" s="20"/>
      <c r="F61" s="20"/>
      <c r="G61" s="22"/>
      <c r="H61" s="22"/>
      <c r="I61" s="22"/>
      <c r="J61" s="23"/>
      <c r="K61" s="24" t="str">
        <f aca="false">IF(B61="","",J61*IFERROR(INDEX(設定!$C$43:$C$45,MATCH(F61,設定!$B$43:$B$45,0)),1))</f>
        <v/>
      </c>
      <c r="L61" s="25" t="str">
        <f aca="false">IF(B61="","",I61-H61)</f>
        <v/>
      </c>
      <c r="M61" s="26" t="str">
        <f aca="false">IF(B61="","",IF(H61=0,"",L61/H61))</f>
        <v/>
      </c>
      <c r="N61" s="26" t="str">
        <f aca="false">IF(B61="","",IF(J61=0,"",M61*365/J61))</f>
        <v/>
      </c>
      <c r="O61" s="27" t="str">
        <f aca="false">IF(B61="","",IFERROR(M61/INDEX(設定!$C$43:$C$45,MATCH(F61,設定!$B$43:$B$45,0)),""))</f>
        <v/>
      </c>
      <c r="P61" s="7" t="str">
        <f aca="false">IF(B61="","",IF(J61&lt;=設定!$C$6,IF(M61&gt;=設定!$C$7,"I(コア)","II(回転)"),IF(M61&gt;=設定!$C$7,"III(厳選)","IV(見送り)")))</f>
        <v/>
      </c>
      <c r="Q61" s="7" t="str">
        <f aca="false">IF(B61="","",IF(OR(P61="I(コア)",P61="II(回転)"),"仕入れ候補",IF(P61="III(厳選)","厳選検討（少数）","見送り")))</f>
        <v/>
      </c>
      <c r="R61" s="20"/>
    </row>
    <row r="62" customFormat="false" ht="15" hidden="false" customHeight="false" outlineLevel="0" collapsed="false">
      <c r="A62" s="18" t="str">
        <f aca="false">IF(B62="","",ROW()-12)</f>
        <v/>
      </c>
      <c r="B62" s="20"/>
      <c r="C62" s="20"/>
      <c r="D62" s="21"/>
      <c r="E62" s="20"/>
      <c r="F62" s="20"/>
      <c r="G62" s="22"/>
      <c r="H62" s="22"/>
      <c r="I62" s="22"/>
      <c r="J62" s="23"/>
      <c r="K62" s="24" t="str">
        <f aca="false">IF(B62="","",J62*IFERROR(INDEX(設定!$C$43:$C$45,MATCH(F62,設定!$B$43:$B$45,0)),1))</f>
        <v/>
      </c>
      <c r="L62" s="25" t="str">
        <f aca="false">IF(B62="","",I62-H62)</f>
        <v/>
      </c>
      <c r="M62" s="26" t="str">
        <f aca="false">IF(B62="","",IF(H62=0,"",L62/H62))</f>
        <v/>
      </c>
      <c r="N62" s="26" t="str">
        <f aca="false">IF(B62="","",IF(J62=0,"",M62*365/J62))</f>
        <v/>
      </c>
      <c r="O62" s="27" t="str">
        <f aca="false">IF(B62="","",IFERROR(M62/INDEX(設定!$C$43:$C$45,MATCH(F62,設定!$B$43:$B$45,0)),""))</f>
        <v/>
      </c>
      <c r="P62" s="7" t="str">
        <f aca="false">IF(B62="","",IF(J62&lt;=設定!$C$6,IF(M62&gt;=設定!$C$7,"I(コア)","II(回転)"),IF(M62&gt;=設定!$C$7,"III(厳選)","IV(見送り)")))</f>
        <v/>
      </c>
      <c r="Q62" s="7" t="str">
        <f aca="false">IF(B62="","",IF(OR(P62="I(コア)",P62="II(回転)"),"仕入れ候補",IF(P62="III(厳選)","厳選検討（少数）","見送り")))</f>
        <v/>
      </c>
      <c r="R62" s="20"/>
    </row>
    <row r="63" customFormat="false" ht="15" hidden="false" customHeight="false" outlineLevel="0" collapsed="false">
      <c r="A63" s="18" t="str">
        <f aca="false">IF(B63="","",ROW()-12)</f>
        <v/>
      </c>
      <c r="B63" s="20"/>
      <c r="C63" s="20"/>
      <c r="D63" s="21"/>
      <c r="E63" s="20"/>
      <c r="F63" s="20"/>
      <c r="G63" s="22"/>
      <c r="H63" s="22"/>
      <c r="I63" s="22"/>
      <c r="J63" s="23"/>
      <c r="K63" s="24" t="str">
        <f aca="false">IF(B63="","",J63*IFERROR(INDEX(設定!$C$43:$C$45,MATCH(F63,設定!$B$43:$B$45,0)),1))</f>
        <v/>
      </c>
      <c r="L63" s="25" t="str">
        <f aca="false">IF(B63="","",I63-H63)</f>
        <v/>
      </c>
      <c r="M63" s="26" t="str">
        <f aca="false">IF(B63="","",IF(H63=0,"",L63/H63))</f>
        <v/>
      </c>
      <c r="N63" s="26" t="str">
        <f aca="false">IF(B63="","",IF(J63=0,"",M63*365/J63))</f>
        <v/>
      </c>
      <c r="O63" s="27" t="str">
        <f aca="false">IF(B63="","",IFERROR(M63/INDEX(設定!$C$43:$C$45,MATCH(F63,設定!$B$43:$B$45,0)),""))</f>
        <v/>
      </c>
      <c r="P63" s="7" t="str">
        <f aca="false">IF(B63="","",IF(J63&lt;=設定!$C$6,IF(M63&gt;=設定!$C$7,"I(コア)","II(回転)"),IF(M63&gt;=設定!$C$7,"III(厳選)","IV(見送り)")))</f>
        <v/>
      </c>
      <c r="Q63" s="7" t="str">
        <f aca="false">IF(B63="","",IF(OR(P63="I(コア)",P63="II(回転)"),"仕入れ候補",IF(P63="III(厳選)","厳選検討（少数）","見送り")))</f>
        <v/>
      </c>
      <c r="R63" s="20"/>
    </row>
    <row r="64" customFormat="false" ht="15" hidden="false" customHeight="false" outlineLevel="0" collapsed="false">
      <c r="A64" s="18" t="str">
        <f aca="false">IF(B64="","",ROW()-12)</f>
        <v/>
      </c>
      <c r="B64" s="20"/>
      <c r="C64" s="20"/>
      <c r="D64" s="21"/>
      <c r="E64" s="20"/>
      <c r="F64" s="20"/>
      <c r="G64" s="22"/>
      <c r="H64" s="22"/>
      <c r="I64" s="22"/>
      <c r="J64" s="23"/>
      <c r="K64" s="24" t="str">
        <f aca="false">IF(B64="","",J64*IFERROR(INDEX(設定!$C$43:$C$45,MATCH(F64,設定!$B$43:$B$45,0)),1))</f>
        <v/>
      </c>
      <c r="L64" s="25" t="str">
        <f aca="false">IF(B64="","",I64-H64)</f>
        <v/>
      </c>
      <c r="M64" s="26" t="str">
        <f aca="false">IF(B64="","",IF(H64=0,"",L64/H64))</f>
        <v/>
      </c>
      <c r="N64" s="26" t="str">
        <f aca="false">IF(B64="","",IF(J64=0,"",M64*365/J64))</f>
        <v/>
      </c>
      <c r="O64" s="27" t="str">
        <f aca="false">IF(B64="","",IFERROR(M64/INDEX(設定!$C$43:$C$45,MATCH(F64,設定!$B$43:$B$45,0)),""))</f>
        <v/>
      </c>
      <c r="P64" s="7" t="str">
        <f aca="false">IF(B64="","",IF(J64&lt;=設定!$C$6,IF(M64&gt;=設定!$C$7,"I(コア)","II(回転)"),IF(M64&gt;=設定!$C$7,"III(厳選)","IV(見送り)")))</f>
        <v/>
      </c>
      <c r="Q64" s="7" t="str">
        <f aca="false">IF(B64="","",IF(OR(P64="I(コア)",P64="II(回転)"),"仕入れ候補",IF(P64="III(厳選)","厳選検討（少数）","見送り")))</f>
        <v/>
      </c>
      <c r="R64" s="20"/>
    </row>
    <row r="65" customFormat="false" ht="15" hidden="false" customHeight="false" outlineLevel="0" collapsed="false">
      <c r="A65" s="18" t="str">
        <f aca="false">IF(B65="","",ROW()-12)</f>
        <v/>
      </c>
      <c r="B65" s="20"/>
      <c r="C65" s="20"/>
      <c r="D65" s="21"/>
      <c r="E65" s="20"/>
      <c r="F65" s="20"/>
      <c r="G65" s="22"/>
      <c r="H65" s="22"/>
      <c r="I65" s="22"/>
      <c r="J65" s="23"/>
      <c r="K65" s="24" t="str">
        <f aca="false">IF(B65="","",J65*IFERROR(INDEX(設定!$C$43:$C$45,MATCH(F65,設定!$B$43:$B$45,0)),1))</f>
        <v/>
      </c>
      <c r="L65" s="25" t="str">
        <f aca="false">IF(B65="","",I65-H65)</f>
        <v/>
      </c>
      <c r="M65" s="26" t="str">
        <f aca="false">IF(B65="","",IF(H65=0,"",L65/H65))</f>
        <v/>
      </c>
      <c r="N65" s="26" t="str">
        <f aca="false">IF(B65="","",IF(J65=0,"",M65*365/J65))</f>
        <v/>
      </c>
      <c r="O65" s="27" t="str">
        <f aca="false">IF(B65="","",IFERROR(M65/INDEX(設定!$C$43:$C$45,MATCH(F65,設定!$B$43:$B$45,0)),""))</f>
        <v/>
      </c>
      <c r="P65" s="7" t="str">
        <f aca="false">IF(B65="","",IF(J65&lt;=設定!$C$6,IF(M65&gt;=設定!$C$7,"I(コア)","II(回転)"),IF(M65&gt;=設定!$C$7,"III(厳選)","IV(見送り)")))</f>
        <v/>
      </c>
      <c r="Q65" s="7" t="str">
        <f aca="false">IF(B65="","",IF(OR(P65="I(コア)",P65="II(回転)"),"仕入れ候補",IF(P65="III(厳選)","厳選検討（少数）","見送り")))</f>
        <v/>
      </c>
      <c r="R65" s="20"/>
    </row>
    <row r="66" customFormat="false" ht="15" hidden="false" customHeight="false" outlineLevel="0" collapsed="false">
      <c r="A66" s="18" t="str">
        <f aca="false">IF(B66="","",ROW()-12)</f>
        <v/>
      </c>
      <c r="B66" s="20"/>
      <c r="C66" s="20"/>
      <c r="D66" s="21"/>
      <c r="E66" s="20"/>
      <c r="F66" s="20"/>
      <c r="G66" s="22"/>
      <c r="H66" s="22"/>
      <c r="I66" s="22"/>
      <c r="J66" s="23"/>
      <c r="K66" s="24" t="str">
        <f aca="false">IF(B66="","",J66*IFERROR(INDEX(設定!$C$43:$C$45,MATCH(F66,設定!$B$43:$B$45,0)),1))</f>
        <v/>
      </c>
      <c r="L66" s="25" t="str">
        <f aca="false">IF(B66="","",I66-H66)</f>
        <v/>
      </c>
      <c r="M66" s="26" t="str">
        <f aca="false">IF(B66="","",IF(H66=0,"",L66/H66))</f>
        <v/>
      </c>
      <c r="N66" s="26" t="str">
        <f aca="false">IF(B66="","",IF(J66=0,"",M66*365/J66))</f>
        <v/>
      </c>
      <c r="O66" s="27" t="str">
        <f aca="false">IF(B66="","",IFERROR(M66/INDEX(設定!$C$43:$C$45,MATCH(F66,設定!$B$43:$B$45,0)),""))</f>
        <v/>
      </c>
      <c r="P66" s="7" t="str">
        <f aca="false">IF(B66="","",IF(J66&lt;=設定!$C$6,IF(M66&gt;=設定!$C$7,"I(コア)","II(回転)"),IF(M66&gt;=設定!$C$7,"III(厳選)","IV(見送り)")))</f>
        <v/>
      </c>
      <c r="Q66" s="7" t="str">
        <f aca="false">IF(B66="","",IF(OR(P66="I(コア)",P66="II(回転)"),"仕入れ候補",IF(P66="III(厳選)","厳選検討（少数）","見送り")))</f>
        <v/>
      </c>
      <c r="R66" s="20"/>
    </row>
    <row r="67" customFormat="false" ht="15" hidden="false" customHeight="false" outlineLevel="0" collapsed="false">
      <c r="A67" s="18" t="str">
        <f aca="false">IF(B67="","",ROW()-12)</f>
        <v/>
      </c>
      <c r="B67" s="20"/>
      <c r="C67" s="20"/>
      <c r="D67" s="21"/>
      <c r="E67" s="20"/>
      <c r="F67" s="20"/>
      <c r="G67" s="22"/>
      <c r="H67" s="22"/>
      <c r="I67" s="22"/>
      <c r="J67" s="23"/>
      <c r="K67" s="24" t="str">
        <f aca="false">IF(B67="","",J67*IFERROR(INDEX(設定!$C$43:$C$45,MATCH(F67,設定!$B$43:$B$45,0)),1))</f>
        <v/>
      </c>
      <c r="L67" s="25" t="str">
        <f aca="false">IF(B67="","",I67-H67)</f>
        <v/>
      </c>
      <c r="M67" s="26" t="str">
        <f aca="false">IF(B67="","",IF(H67=0,"",L67/H67))</f>
        <v/>
      </c>
      <c r="N67" s="26" t="str">
        <f aca="false">IF(B67="","",IF(J67=0,"",M67*365/J67))</f>
        <v/>
      </c>
      <c r="O67" s="27" t="str">
        <f aca="false">IF(B67="","",IFERROR(M67/INDEX(設定!$C$43:$C$45,MATCH(F67,設定!$B$43:$B$45,0)),""))</f>
        <v/>
      </c>
      <c r="P67" s="7" t="str">
        <f aca="false">IF(B67="","",IF(J67&lt;=設定!$C$6,IF(M67&gt;=設定!$C$7,"I(コア)","II(回転)"),IF(M67&gt;=設定!$C$7,"III(厳選)","IV(見送り)")))</f>
        <v/>
      </c>
      <c r="Q67" s="7" t="str">
        <f aca="false">IF(B67="","",IF(OR(P67="I(コア)",P67="II(回転)"),"仕入れ候補",IF(P67="III(厳選)","厳選検討（少数）","見送り")))</f>
        <v/>
      </c>
      <c r="R67" s="20"/>
    </row>
    <row r="68" customFormat="false" ht="15" hidden="false" customHeight="false" outlineLevel="0" collapsed="false">
      <c r="A68" s="18" t="str">
        <f aca="false">IF(B68="","",ROW()-12)</f>
        <v/>
      </c>
      <c r="B68" s="20"/>
      <c r="C68" s="20"/>
      <c r="D68" s="21"/>
      <c r="E68" s="20"/>
      <c r="F68" s="20"/>
      <c r="G68" s="22"/>
      <c r="H68" s="22"/>
      <c r="I68" s="22"/>
      <c r="J68" s="23"/>
      <c r="K68" s="24" t="str">
        <f aca="false">IF(B68="","",J68*IFERROR(INDEX(設定!$C$43:$C$45,MATCH(F68,設定!$B$43:$B$45,0)),1))</f>
        <v/>
      </c>
      <c r="L68" s="25" t="str">
        <f aca="false">IF(B68="","",I68-H68)</f>
        <v/>
      </c>
      <c r="M68" s="26" t="str">
        <f aca="false">IF(B68="","",IF(H68=0,"",L68/H68))</f>
        <v/>
      </c>
      <c r="N68" s="26" t="str">
        <f aca="false">IF(B68="","",IF(J68=0,"",M68*365/J68))</f>
        <v/>
      </c>
      <c r="O68" s="27" t="str">
        <f aca="false">IF(B68="","",IFERROR(M68/INDEX(設定!$C$43:$C$45,MATCH(F68,設定!$B$43:$B$45,0)),""))</f>
        <v/>
      </c>
      <c r="P68" s="7" t="str">
        <f aca="false">IF(B68="","",IF(J68&lt;=設定!$C$6,IF(M68&gt;=設定!$C$7,"I(コア)","II(回転)"),IF(M68&gt;=設定!$C$7,"III(厳選)","IV(見送り)")))</f>
        <v/>
      </c>
      <c r="Q68" s="7" t="str">
        <f aca="false">IF(B68="","",IF(OR(P68="I(コア)",P68="II(回転)"),"仕入れ候補",IF(P68="III(厳選)","厳選検討（少数）","見送り")))</f>
        <v/>
      </c>
      <c r="R68" s="20"/>
    </row>
    <row r="69" customFormat="false" ht="15" hidden="false" customHeight="false" outlineLevel="0" collapsed="false">
      <c r="A69" s="18" t="str">
        <f aca="false">IF(B69="","",ROW()-12)</f>
        <v/>
      </c>
      <c r="B69" s="20"/>
      <c r="C69" s="20"/>
      <c r="D69" s="21"/>
      <c r="E69" s="20"/>
      <c r="F69" s="20"/>
      <c r="G69" s="22"/>
      <c r="H69" s="22"/>
      <c r="I69" s="22"/>
      <c r="J69" s="23"/>
      <c r="K69" s="24" t="str">
        <f aca="false">IF(B69="","",J69*IFERROR(INDEX(設定!$C$43:$C$45,MATCH(F69,設定!$B$43:$B$45,0)),1))</f>
        <v/>
      </c>
      <c r="L69" s="25" t="str">
        <f aca="false">IF(B69="","",I69-H69)</f>
        <v/>
      </c>
      <c r="M69" s="26" t="str">
        <f aca="false">IF(B69="","",IF(H69=0,"",L69/H69))</f>
        <v/>
      </c>
      <c r="N69" s="26" t="str">
        <f aca="false">IF(B69="","",IF(J69=0,"",M69*365/J69))</f>
        <v/>
      </c>
      <c r="O69" s="27" t="str">
        <f aca="false">IF(B69="","",IFERROR(M69/INDEX(設定!$C$43:$C$45,MATCH(F69,設定!$B$43:$B$45,0)),""))</f>
        <v/>
      </c>
      <c r="P69" s="7" t="str">
        <f aca="false">IF(B69="","",IF(J69&lt;=設定!$C$6,IF(M69&gt;=設定!$C$7,"I(コア)","II(回転)"),IF(M69&gt;=設定!$C$7,"III(厳選)","IV(見送り)")))</f>
        <v/>
      </c>
      <c r="Q69" s="7" t="str">
        <f aca="false">IF(B69="","",IF(OR(P69="I(コア)",P69="II(回転)"),"仕入れ候補",IF(P69="III(厳選)","厳選検討（少数）","見送り")))</f>
        <v/>
      </c>
      <c r="R69" s="20"/>
    </row>
    <row r="70" customFormat="false" ht="15" hidden="false" customHeight="false" outlineLevel="0" collapsed="false">
      <c r="A70" s="18" t="str">
        <f aca="false">IF(B70="","",ROW()-12)</f>
        <v/>
      </c>
      <c r="B70" s="20"/>
      <c r="C70" s="20"/>
      <c r="D70" s="21"/>
      <c r="E70" s="20"/>
      <c r="F70" s="20"/>
      <c r="G70" s="22"/>
      <c r="H70" s="22"/>
      <c r="I70" s="22"/>
      <c r="J70" s="23"/>
      <c r="K70" s="24" t="str">
        <f aca="false">IF(B70="","",J70*IFERROR(INDEX(設定!$C$43:$C$45,MATCH(F70,設定!$B$43:$B$45,0)),1))</f>
        <v/>
      </c>
      <c r="L70" s="25" t="str">
        <f aca="false">IF(B70="","",I70-H70)</f>
        <v/>
      </c>
      <c r="M70" s="26" t="str">
        <f aca="false">IF(B70="","",IF(H70=0,"",L70/H70))</f>
        <v/>
      </c>
      <c r="N70" s="26" t="str">
        <f aca="false">IF(B70="","",IF(J70=0,"",M70*365/J70))</f>
        <v/>
      </c>
      <c r="O70" s="27" t="str">
        <f aca="false">IF(B70="","",IFERROR(M70/INDEX(設定!$C$43:$C$45,MATCH(F70,設定!$B$43:$B$45,0)),""))</f>
        <v/>
      </c>
      <c r="P70" s="7" t="str">
        <f aca="false">IF(B70="","",IF(J70&lt;=設定!$C$6,IF(M70&gt;=設定!$C$7,"I(コア)","II(回転)"),IF(M70&gt;=設定!$C$7,"III(厳選)","IV(見送り)")))</f>
        <v/>
      </c>
      <c r="Q70" s="7" t="str">
        <f aca="false">IF(B70="","",IF(OR(P70="I(コア)",P70="II(回転)"),"仕入れ候補",IF(P70="III(厳選)","厳選検討（少数）","見送り")))</f>
        <v/>
      </c>
      <c r="R70" s="20"/>
    </row>
    <row r="71" customFormat="false" ht="15" hidden="false" customHeight="false" outlineLevel="0" collapsed="false">
      <c r="A71" s="18" t="str">
        <f aca="false">IF(B71="","",ROW()-12)</f>
        <v/>
      </c>
      <c r="B71" s="20"/>
      <c r="C71" s="20"/>
      <c r="D71" s="21"/>
      <c r="E71" s="20"/>
      <c r="F71" s="20"/>
      <c r="G71" s="22"/>
      <c r="H71" s="22"/>
      <c r="I71" s="22"/>
      <c r="J71" s="23"/>
      <c r="K71" s="24" t="str">
        <f aca="false">IF(B71="","",J71*IFERROR(INDEX(設定!$C$43:$C$45,MATCH(F71,設定!$B$43:$B$45,0)),1))</f>
        <v/>
      </c>
      <c r="L71" s="25" t="str">
        <f aca="false">IF(B71="","",I71-H71)</f>
        <v/>
      </c>
      <c r="M71" s="26" t="str">
        <f aca="false">IF(B71="","",IF(H71=0,"",L71/H71))</f>
        <v/>
      </c>
      <c r="N71" s="26" t="str">
        <f aca="false">IF(B71="","",IF(J71=0,"",M71*365/J71))</f>
        <v/>
      </c>
      <c r="O71" s="27" t="str">
        <f aca="false">IF(B71="","",IFERROR(M71/INDEX(設定!$C$43:$C$45,MATCH(F71,設定!$B$43:$B$45,0)),""))</f>
        <v/>
      </c>
      <c r="P71" s="7" t="str">
        <f aca="false">IF(B71="","",IF(J71&lt;=設定!$C$6,IF(M71&gt;=設定!$C$7,"I(コア)","II(回転)"),IF(M71&gt;=設定!$C$7,"III(厳選)","IV(見送り)")))</f>
        <v/>
      </c>
      <c r="Q71" s="7" t="str">
        <f aca="false">IF(B71="","",IF(OR(P71="I(コア)",P71="II(回転)"),"仕入れ候補",IF(P71="III(厳選)","厳選検討（少数）","見送り")))</f>
        <v/>
      </c>
      <c r="R71" s="20"/>
    </row>
    <row r="72" customFormat="false" ht="15" hidden="false" customHeight="false" outlineLevel="0" collapsed="false">
      <c r="A72" s="18" t="str">
        <f aca="false">IF(B72="","",ROW()-12)</f>
        <v/>
      </c>
      <c r="B72" s="20"/>
      <c r="C72" s="20"/>
      <c r="D72" s="21"/>
      <c r="E72" s="20"/>
      <c r="F72" s="20"/>
      <c r="G72" s="22"/>
      <c r="H72" s="22"/>
      <c r="I72" s="22"/>
      <c r="J72" s="23"/>
      <c r="K72" s="24" t="str">
        <f aca="false">IF(B72="","",J72*IFERROR(INDEX(設定!$C$43:$C$45,MATCH(F72,設定!$B$43:$B$45,0)),1))</f>
        <v/>
      </c>
      <c r="L72" s="25" t="str">
        <f aca="false">IF(B72="","",I72-H72)</f>
        <v/>
      </c>
      <c r="M72" s="26" t="str">
        <f aca="false">IF(B72="","",IF(H72=0,"",L72/H72))</f>
        <v/>
      </c>
      <c r="N72" s="26" t="str">
        <f aca="false">IF(B72="","",IF(J72=0,"",M72*365/J72))</f>
        <v/>
      </c>
      <c r="O72" s="27" t="str">
        <f aca="false">IF(B72="","",IFERROR(M72/INDEX(設定!$C$43:$C$45,MATCH(F72,設定!$B$43:$B$45,0)),""))</f>
        <v/>
      </c>
      <c r="P72" s="7" t="str">
        <f aca="false">IF(B72="","",IF(J72&lt;=設定!$C$6,IF(M72&gt;=設定!$C$7,"I(コア)","II(回転)"),IF(M72&gt;=設定!$C$7,"III(厳選)","IV(見送り)")))</f>
        <v/>
      </c>
      <c r="Q72" s="7" t="str">
        <f aca="false">IF(B72="","",IF(OR(P72="I(コア)",P72="II(回転)"),"仕入れ候補",IF(P72="III(厳選)","厳選検討（少数）","見送り")))</f>
        <v/>
      </c>
      <c r="R72" s="20"/>
    </row>
    <row r="73" customFormat="false" ht="15" hidden="false" customHeight="false" outlineLevel="0" collapsed="false">
      <c r="A73" s="18" t="str">
        <f aca="false">IF(B73="","",ROW()-12)</f>
        <v/>
      </c>
      <c r="B73" s="20"/>
      <c r="C73" s="20"/>
      <c r="D73" s="21"/>
      <c r="E73" s="20"/>
      <c r="F73" s="20"/>
      <c r="G73" s="22"/>
      <c r="H73" s="22"/>
      <c r="I73" s="22"/>
      <c r="J73" s="23"/>
      <c r="K73" s="24" t="str">
        <f aca="false">IF(B73="","",J73*IFERROR(INDEX(設定!$C$43:$C$45,MATCH(F73,設定!$B$43:$B$45,0)),1))</f>
        <v/>
      </c>
      <c r="L73" s="25" t="str">
        <f aca="false">IF(B73="","",I73-H73)</f>
        <v/>
      </c>
      <c r="M73" s="26" t="str">
        <f aca="false">IF(B73="","",IF(H73=0,"",L73/H73))</f>
        <v/>
      </c>
      <c r="N73" s="26" t="str">
        <f aca="false">IF(B73="","",IF(J73=0,"",M73*365/J73))</f>
        <v/>
      </c>
      <c r="O73" s="27" t="str">
        <f aca="false">IF(B73="","",IFERROR(M73/INDEX(設定!$C$43:$C$45,MATCH(F73,設定!$B$43:$B$45,0)),""))</f>
        <v/>
      </c>
      <c r="P73" s="7" t="str">
        <f aca="false">IF(B73="","",IF(J73&lt;=設定!$C$6,IF(M73&gt;=設定!$C$7,"I(コア)","II(回転)"),IF(M73&gt;=設定!$C$7,"III(厳選)","IV(見送り)")))</f>
        <v/>
      </c>
      <c r="Q73" s="7" t="str">
        <f aca="false">IF(B73="","",IF(OR(P73="I(コア)",P73="II(回転)"),"仕入れ候補",IF(P73="III(厳選)","厳選検討（少数）","見送り")))</f>
        <v/>
      </c>
      <c r="R73" s="20"/>
    </row>
    <row r="74" customFormat="false" ht="15" hidden="false" customHeight="false" outlineLevel="0" collapsed="false">
      <c r="A74" s="18" t="str">
        <f aca="false">IF(B74="","",ROW()-12)</f>
        <v/>
      </c>
      <c r="B74" s="20"/>
      <c r="C74" s="20"/>
      <c r="D74" s="21"/>
      <c r="E74" s="20"/>
      <c r="F74" s="20"/>
      <c r="G74" s="22"/>
      <c r="H74" s="22"/>
      <c r="I74" s="22"/>
      <c r="J74" s="23"/>
      <c r="K74" s="24" t="str">
        <f aca="false">IF(B74="","",J74*IFERROR(INDEX(設定!$C$43:$C$45,MATCH(F74,設定!$B$43:$B$45,0)),1))</f>
        <v/>
      </c>
      <c r="L74" s="25" t="str">
        <f aca="false">IF(B74="","",I74-H74)</f>
        <v/>
      </c>
      <c r="M74" s="26" t="str">
        <f aca="false">IF(B74="","",IF(H74=0,"",L74/H74))</f>
        <v/>
      </c>
      <c r="N74" s="26" t="str">
        <f aca="false">IF(B74="","",IF(J74=0,"",M74*365/J74))</f>
        <v/>
      </c>
      <c r="O74" s="27" t="str">
        <f aca="false">IF(B74="","",IFERROR(M74/INDEX(設定!$C$43:$C$45,MATCH(F74,設定!$B$43:$B$45,0)),""))</f>
        <v/>
      </c>
      <c r="P74" s="7" t="str">
        <f aca="false">IF(B74="","",IF(J74&lt;=設定!$C$6,IF(M74&gt;=設定!$C$7,"I(コア)","II(回転)"),IF(M74&gt;=設定!$C$7,"III(厳選)","IV(見送り)")))</f>
        <v/>
      </c>
      <c r="Q74" s="7" t="str">
        <f aca="false">IF(B74="","",IF(OR(P74="I(コア)",P74="II(回転)"),"仕入れ候補",IF(P74="III(厳選)","厳選検討（少数）","見送り")))</f>
        <v/>
      </c>
      <c r="R74" s="20"/>
    </row>
    <row r="75" customFormat="false" ht="15" hidden="false" customHeight="false" outlineLevel="0" collapsed="false">
      <c r="A75" s="18" t="str">
        <f aca="false">IF(B75="","",ROW()-12)</f>
        <v/>
      </c>
      <c r="B75" s="20"/>
      <c r="C75" s="20"/>
      <c r="D75" s="21"/>
      <c r="E75" s="20"/>
      <c r="F75" s="20"/>
      <c r="G75" s="22"/>
      <c r="H75" s="22"/>
      <c r="I75" s="22"/>
      <c r="J75" s="23"/>
      <c r="K75" s="24" t="str">
        <f aca="false">IF(B75="","",J75*IFERROR(INDEX(設定!$C$43:$C$45,MATCH(F75,設定!$B$43:$B$45,0)),1))</f>
        <v/>
      </c>
      <c r="L75" s="25" t="str">
        <f aca="false">IF(B75="","",I75-H75)</f>
        <v/>
      </c>
      <c r="M75" s="26" t="str">
        <f aca="false">IF(B75="","",IF(H75=0,"",L75/H75))</f>
        <v/>
      </c>
      <c r="N75" s="26" t="str">
        <f aca="false">IF(B75="","",IF(J75=0,"",M75*365/J75))</f>
        <v/>
      </c>
      <c r="O75" s="27" t="str">
        <f aca="false">IF(B75="","",IFERROR(M75/INDEX(設定!$C$43:$C$45,MATCH(F75,設定!$B$43:$B$45,0)),""))</f>
        <v/>
      </c>
      <c r="P75" s="7" t="str">
        <f aca="false">IF(B75="","",IF(J75&lt;=設定!$C$6,IF(M75&gt;=設定!$C$7,"I(コア)","II(回転)"),IF(M75&gt;=設定!$C$7,"III(厳選)","IV(見送り)")))</f>
        <v/>
      </c>
      <c r="Q75" s="7" t="str">
        <f aca="false">IF(B75="","",IF(OR(P75="I(コア)",P75="II(回転)"),"仕入れ候補",IF(P75="III(厳選)","厳選検討（少数）","見送り")))</f>
        <v/>
      </c>
      <c r="R75" s="20"/>
    </row>
    <row r="76" customFormat="false" ht="15" hidden="false" customHeight="false" outlineLevel="0" collapsed="false">
      <c r="A76" s="18" t="str">
        <f aca="false">IF(B76="","",ROW()-12)</f>
        <v/>
      </c>
      <c r="B76" s="20"/>
      <c r="C76" s="20"/>
      <c r="D76" s="21"/>
      <c r="E76" s="20"/>
      <c r="F76" s="20"/>
      <c r="G76" s="22"/>
      <c r="H76" s="22"/>
      <c r="I76" s="22"/>
      <c r="J76" s="23"/>
      <c r="K76" s="24" t="str">
        <f aca="false">IF(B76="","",J76*IFERROR(INDEX(設定!$C$43:$C$45,MATCH(F76,設定!$B$43:$B$45,0)),1))</f>
        <v/>
      </c>
      <c r="L76" s="25" t="str">
        <f aca="false">IF(B76="","",I76-H76)</f>
        <v/>
      </c>
      <c r="M76" s="26" t="str">
        <f aca="false">IF(B76="","",IF(H76=0,"",L76/H76))</f>
        <v/>
      </c>
      <c r="N76" s="26" t="str">
        <f aca="false">IF(B76="","",IF(J76=0,"",M76*365/J76))</f>
        <v/>
      </c>
      <c r="O76" s="27" t="str">
        <f aca="false">IF(B76="","",IFERROR(M76/INDEX(設定!$C$43:$C$45,MATCH(F76,設定!$B$43:$B$45,0)),""))</f>
        <v/>
      </c>
      <c r="P76" s="7" t="str">
        <f aca="false">IF(B76="","",IF(J76&lt;=設定!$C$6,IF(M76&gt;=設定!$C$7,"I(コア)","II(回転)"),IF(M76&gt;=設定!$C$7,"III(厳選)","IV(見送り)")))</f>
        <v/>
      </c>
      <c r="Q76" s="7" t="str">
        <f aca="false">IF(B76="","",IF(OR(P76="I(コア)",P76="II(回転)"),"仕入れ候補",IF(P76="III(厳選)","厳選検討（少数）","見送り")))</f>
        <v/>
      </c>
      <c r="R76" s="20"/>
    </row>
    <row r="77" customFormat="false" ht="15" hidden="false" customHeight="false" outlineLevel="0" collapsed="false">
      <c r="A77" s="18" t="str">
        <f aca="false">IF(B77="","",ROW()-12)</f>
        <v/>
      </c>
      <c r="B77" s="20"/>
      <c r="C77" s="20"/>
      <c r="D77" s="21"/>
      <c r="E77" s="20"/>
      <c r="F77" s="20"/>
      <c r="G77" s="22"/>
      <c r="H77" s="22"/>
      <c r="I77" s="22"/>
      <c r="J77" s="23"/>
      <c r="K77" s="24" t="str">
        <f aca="false">IF(B77="","",J77*IFERROR(INDEX(設定!$C$43:$C$45,MATCH(F77,設定!$B$43:$B$45,0)),1))</f>
        <v/>
      </c>
      <c r="L77" s="25" t="str">
        <f aca="false">IF(B77="","",I77-H77)</f>
        <v/>
      </c>
      <c r="M77" s="26" t="str">
        <f aca="false">IF(B77="","",IF(H77=0,"",L77/H77))</f>
        <v/>
      </c>
      <c r="N77" s="26" t="str">
        <f aca="false">IF(B77="","",IF(J77=0,"",M77*365/J77))</f>
        <v/>
      </c>
      <c r="O77" s="27" t="str">
        <f aca="false">IF(B77="","",IFERROR(M77/INDEX(設定!$C$43:$C$45,MATCH(F77,設定!$B$43:$B$45,0)),""))</f>
        <v/>
      </c>
      <c r="P77" s="7" t="str">
        <f aca="false">IF(B77="","",IF(J77&lt;=設定!$C$6,IF(M77&gt;=設定!$C$7,"I(コア)","II(回転)"),IF(M77&gt;=設定!$C$7,"III(厳選)","IV(見送り)")))</f>
        <v/>
      </c>
      <c r="Q77" s="7" t="str">
        <f aca="false">IF(B77="","",IF(OR(P77="I(コア)",P77="II(回転)"),"仕入れ候補",IF(P77="III(厳選)","厳選検討（少数）","見送り")))</f>
        <v/>
      </c>
      <c r="R77" s="20"/>
    </row>
    <row r="78" customFormat="false" ht="15" hidden="false" customHeight="false" outlineLevel="0" collapsed="false">
      <c r="A78" s="18" t="str">
        <f aca="false">IF(B78="","",ROW()-12)</f>
        <v/>
      </c>
      <c r="B78" s="20"/>
      <c r="C78" s="20"/>
      <c r="D78" s="21"/>
      <c r="E78" s="20"/>
      <c r="F78" s="20"/>
      <c r="G78" s="22"/>
      <c r="H78" s="22"/>
      <c r="I78" s="22"/>
      <c r="J78" s="23"/>
      <c r="K78" s="24" t="str">
        <f aca="false">IF(B78="","",J78*IFERROR(INDEX(設定!$C$43:$C$45,MATCH(F78,設定!$B$43:$B$45,0)),1))</f>
        <v/>
      </c>
      <c r="L78" s="25" t="str">
        <f aca="false">IF(B78="","",I78-H78)</f>
        <v/>
      </c>
      <c r="M78" s="26" t="str">
        <f aca="false">IF(B78="","",IF(H78=0,"",L78/H78))</f>
        <v/>
      </c>
      <c r="N78" s="26" t="str">
        <f aca="false">IF(B78="","",IF(J78=0,"",M78*365/J78))</f>
        <v/>
      </c>
      <c r="O78" s="27" t="str">
        <f aca="false">IF(B78="","",IFERROR(M78/INDEX(設定!$C$43:$C$45,MATCH(F78,設定!$B$43:$B$45,0)),""))</f>
        <v/>
      </c>
      <c r="P78" s="7" t="str">
        <f aca="false">IF(B78="","",IF(J78&lt;=設定!$C$6,IF(M78&gt;=設定!$C$7,"I(コア)","II(回転)"),IF(M78&gt;=設定!$C$7,"III(厳選)","IV(見送り)")))</f>
        <v/>
      </c>
      <c r="Q78" s="7" t="str">
        <f aca="false">IF(B78="","",IF(OR(P78="I(コア)",P78="II(回転)"),"仕入れ候補",IF(P78="III(厳選)","厳選検討（少数）","見送り")))</f>
        <v/>
      </c>
      <c r="R78" s="20"/>
    </row>
    <row r="79" customFormat="false" ht="15" hidden="false" customHeight="false" outlineLevel="0" collapsed="false">
      <c r="A79" s="18" t="str">
        <f aca="false">IF(B79="","",ROW()-12)</f>
        <v/>
      </c>
      <c r="B79" s="20"/>
      <c r="C79" s="20"/>
      <c r="D79" s="21"/>
      <c r="E79" s="20"/>
      <c r="F79" s="20"/>
      <c r="G79" s="22"/>
      <c r="H79" s="22"/>
      <c r="I79" s="22"/>
      <c r="J79" s="23"/>
      <c r="K79" s="24" t="str">
        <f aca="false">IF(B79="","",J79*IFERROR(INDEX(設定!$C$43:$C$45,MATCH(F79,設定!$B$43:$B$45,0)),1))</f>
        <v/>
      </c>
      <c r="L79" s="25" t="str">
        <f aca="false">IF(B79="","",I79-H79)</f>
        <v/>
      </c>
      <c r="M79" s="26" t="str">
        <f aca="false">IF(B79="","",IF(H79=0,"",L79/H79))</f>
        <v/>
      </c>
      <c r="N79" s="26" t="str">
        <f aca="false">IF(B79="","",IF(J79=0,"",M79*365/J79))</f>
        <v/>
      </c>
      <c r="O79" s="27" t="str">
        <f aca="false">IF(B79="","",IFERROR(M79/INDEX(設定!$C$43:$C$45,MATCH(F79,設定!$B$43:$B$45,0)),""))</f>
        <v/>
      </c>
      <c r="P79" s="7" t="str">
        <f aca="false">IF(B79="","",IF(J79&lt;=設定!$C$6,IF(M79&gt;=設定!$C$7,"I(コア)","II(回転)"),IF(M79&gt;=設定!$C$7,"III(厳選)","IV(見送り)")))</f>
        <v/>
      </c>
      <c r="Q79" s="7" t="str">
        <f aca="false">IF(B79="","",IF(OR(P79="I(コア)",P79="II(回転)"),"仕入れ候補",IF(P79="III(厳選)","厳選検討（少数）","見送り")))</f>
        <v/>
      </c>
      <c r="R79" s="20"/>
    </row>
    <row r="80" customFormat="false" ht="15" hidden="false" customHeight="false" outlineLevel="0" collapsed="false">
      <c r="A80" s="18" t="str">
        <f aca="false">IF(B80="","",ROW()-12)</f>
        <v/>
      </c>
      <c r="B80" s="20"/>
      <c r="C80" s="20"/>
      <c r="D80" s="21"/>
      <c r="E80" s="20"/>
      <c r="F80" s="20"/>
      <c r="G80" s="22"/>
      <c r="H80" s="22"/>
      <c r="I80" s="22"/>
      <c r="J80" s="23"/>
      <c r="K80" s="24" t="str">
        <f aca="false">IF(B80="","",J80*IFERROR(INDEX(設定!$C$43:$C$45,MATCH(F80,設定!$B$43:$B$45,0)),1))</f>
        <v/>
      </c>
      <c r="L80" s="25" t="str">
        <f aca="false">IF(B80="","",I80-H80)</f>
        <v/>
      </c>
      <c r="M80" s="26" t="str">
        <f aca="false">IF(B80="","",IF(H80=0,"",L80/H80))</f>
        <v/>
      </c>
      <c r="N80" s="26" t="str">
        <f aca="false">IF(B80="","",IF(J80=0,"",M80*365/J80))</f>
        <v/>
      </c>
      <c r="O80" s="27" t="str">
        <f aca="false">IF(B80="","",IFERROR(M80/INDEX(設定!$C$43:$C$45,MATCH(F80,設定!$B$43:$B$45,0)),""))</f>
        <v/>
      </c>
      <c r="P80" s="7" t="str">
        <f aca="false">IF(B80="","",IF(J80&lt;=設定!$C$6,IF(M80&gt;=設定!$C$7,"I(コア)","II(回転)"),IF(M80&gt;=設定!$C$7,"III(厳選)","IV(見送り)")))</f>
        <v/>
      </c>
      <c r="Q80" s="7" t="str">
        <f aca="false">IF(B80="","",IF(OR(P80="I(コア)",P80="II(回転)"),"仕入れ候補",IF(P80="III(厳選)","厳選検討（少数）","見送り")))</f>
        <v/>
      </c>
      <c r="R80" s="20"/>
    </row>
    <row r="81" customFormat="false" ht="15" hidden="false" customHeight="false" outlineLevel="0" collapsed="false">
      <c r="A81" s="18" t="str">
        <f aca="false">IF(B81="","",ROW()-12)</f>
        <v/>
      </c>
      <c r="B81" s="20"/>
      <c r="C81" s="20"/>
      <c r="D81" s="21"/>
      <c r="E81" s="20"/>
      <c r="F81" s="20"/>
      <c r="G81" s="22"/>
      <c r="H81" s="22"/>
      <c r="I81" s="22"/>
      <c r="J81" s="23"/>
      <c r="K81" s="24" t="str">
        <f aca="false">IF(B81="","",J81*IFERROR(INDEX(設定!$C$43:$C$45,MATCH(F81,設定!$B$43:$B$45,0)),1))</f>
        <v/>
      </c>
      <c r="L81" s="25" t="str">
        <f aca="false">IF(B81="","",I81-H81)</f>
        <v/>
      </c>
      <c r="M81" s="26" t="str">
        <f aca="false">IF(B81="","",IF(H81=0,"",L81/H81))</f>
        <v/>
      </c>
      <c r="N81" s="26" t="str">
        <f aca="false">IF(B81="","",IF(J81=0,"",M81*365/J81))</f>
        <v/>
      </c>
      <c r="O81" s="27" t="str">
        <f aca="false">IF(B81="","",IFERROR(M81/INDEX(設定!$C$43:$C$45,MATCH(F81,設定!$B$43:$B$45,0)),""))</f>
        <v/>
      </c>
      <c r="P81" s="7" t="str">
        <f aca="false">IF(B81="","",IF(J81&lt;=設定!$C$6,IF(M81&gt;=設定!$C$7,"I(コア)","II(回転)"),IF(M81&gt;=設定!$C$7,"III(厳選)","IV(見送り)")))</f>
        <v/>
      </c>
      <c r="Q81" s="7" t="str">
        <f aca="false">IF(B81="","",IF(OR(P81="I(コア)",P81="II(回転)"),"仕入れ候補",IF(P81="III(厳選)","厳選検討（少数）","見送り")))</f>
        <v/>
      </c>
      <c r="R81" s="20"/>
    </row>
    <row r="82" customFormat="false" ht="15" hidden="false" customHeight="false" outlineLevel="0" collapsed="false">
      <c r="A82" s="18" t="str">
        <f aca="false">IF(B82="","",ROW()-12)</f>
        <v/>
      </c>
      <c r="B82" s="20"/>
      <c r="C82" s="20"/>
      <c r="D82" s="21"/>
      <c r="E82" s="20"/>
      <c r="F82" s="20"/>
      <c r="G82" s="22"/>
      <c r="H82" s="22"/>
      <c r="I82" s="22"/>
      <c r="J82" s="23"/>
      <c r="K82" s="24" t="str">
        <f aca="false">IF(B82="","",J82*IFERROR(INDEX(設定!$C$43:$C$45,MATCH(F82,設定!$B$43:$B$45,0)),1))</f>
        <v/>
      </c>
      <c r="L82" s="25" t="str">
        <f aca="false">IF(B82="","",I82-H82)</f>
        <v/>
      </c>
      <c r="M82" s="26" t="str">
        <f aca="false">IF(B82="","",IF(H82=0,"",L82/H82))</f>
        <v/>
      </c>
      <c r="N82" s="26" t="str">
        <f aca="false">IF(B82="","",IF(J82=0,"",M82*365/J82))</f>
        <v/>
      </c>
      <c r="O82" s="27" t="str">
        <f aca="false">IF(B82="","",IFERROR(M82/INDEX(設定!$C$43:$C$45,MATCH(F82,設定!$B$43:$B$45,0)),""))</f>
        <v/>
      </c>
      <c r="P82" s="7" t="str">
        <f aca="false">IF(B82="","",IF(J82&lt;=設定!$C$6,IF(M82&gt;=設定!$C$7,"I(コア)","II(回転)"),IF(M82&gt;=設定!$C$7,"III(厳選)","IV(見送り)")))</f>
        <v/>
      </c>
      <c r="Q82" s="7" t="str">
        <f aca="false">IF(B82="","",IF(OR(P82="I(コア)",P82="II(回転)"),"仕入れ候補",IF(P82="III(厳選)","厳選検討（少数）","見送り")))</f>
        <v/>
      </c>
      <c r="R82" s="20"/>
    </row>
    <row r="83" customFormat="false" ht="15" hidden="false" customHeight="false" outlineLevel="0" collapsed="false">
      <c r="A83" s="18" t="str">
        <f aca="false">IF(B83="","",ROW()-12)</f>
        <v/>
      </c>
      <c r="B83" s="20"/>
      <c r="C83" s="20"/>
      <c r="D83" s="21"/>
      <c r="E83" s="20"/>
      <c r="F83" s="20"/>
      <c r="G83" s="22"/>
      <c r="H83" s="22"/>
      <c r="I83" s="22"/>
      <c r="J83" s="23"/>
      <c r="K83" s="24" t="str">
        <f aca="false">IF(B83="","",J83*IFERROR(INDEX(設定!$C$43:$C$45,MATCH(F83,設定!$B$43:$B$45,0)),1))</f>
        <v/>
      </c>
      <c r="L83" s="25" t="str">
        <f aca="false">IF(B83="","",I83-H83)</f>
        <v/>
      </c>
      <c r="M83" s="26" t="str">
        <f aca="false">IF(B83="","",IF(H83=0,"",L83/H83))</f>
        <v/>
      </c>
      <c r="N83" s="26" t="str">
        <f aca="false">IF(B83="","",IF(J83=0,"",M83*365/J83))</f>
        <v/>
      </c>
      <c r="O83" s="27" t="str">
        <f aca="false">IF(B83="","",IFERROR(M83/INDEX(設定!$C$43:$C$45,MATCH(F83,設定!$B$43:$B$45,0)),""))</f>
        <v/>
      </c>
      <c r="P83" s="7" t="str">
        <f aca="false">IF(B83="","",IF(J83&lt;=設定!$C$6,IF(M83&gt;=設定!$C$7,"I(コア)","II(回転)"),IF(M83&gt;=設定!$C$7,"III(厳選)","IV(見送り)")))</f>
        <v/>
      </c>
      <c r="Q83" s="7" t="str">
        <f aca="false">IF(B83="","",IF(OR(P83="I(コア)",P83="II(回転)"),"仕入れ候補",IF(P83="III(厳選)","厳選検討（少数）","見送り")))</f>
        <v/>
      </c>
      <c r="R83" s="20"/>
    </row>
    <row r="84" customFormat="false" ht="15" hidden="false" customHeight="false" outlineLevel="0" collapsed="false">
      <c r="A84" s="18" t="str">
        <f aca="false">IF(B84="","",ROW()-12)</f>
        <v/>
      </c>
      <c r="B84" s="20"/>
      <c r="C84" s="20"/>
      <c r="D84" s="21"/>
      <c r="E84" s="20"/>
      <c r="F84" s="20"/>
      <c r="G84" s="22"/>
      <c r="H84" s="22"/>
      <c r="I84" s="22"/>
      <c r="J84" s="23"/>
      <c r="K84" s="24" t="str">
        <f aca="false">IF(B84="","",J84*IFERROR(INDEX(設定!$C$43:$C$45,MATCH(F84,設定!$B$43:$B$45,0)),1))</f>
        <v/>
      </c>
      <c r="L84" s="25" t="str">
        <f aca="false">IF(B84="","",I84-H84)</f>
        <v/>
      </c>
      <c r="M84" s="26" t="str">
        <f aca="false">IF(B84="","",IF(H84=0,"",L84/H84))</f>
        <v/>
      </c>
      <c r="N84" s="26" t="str">
        <f aca="false">IF(B84="","",IF(J84=0,"",M84*365/J84))</f>
        <v/>
      </c>
      <c r="O84" s="27" t="str">
        <f aca="false">IF(B84="","",IFERROR(M84/INDEX(設定!$C$43:$C$45,MATCH(F84,設定!$B$43:$B$45,0)),""))</f>
        <v/>
      </c>
      <c r="P84" s="7" t="str">
        <f aca="false">IF(B84="","",IF(J84&lt;=設定!$C$6,IF(M84&gt;=設定!$C$7,"I(コア)","II(回転)"),IF(M84&gt;=設定!$C$7,"III(厳選)","IV(見送り)")))</f>
        <v/>
      </c>
      <c r="Q84" s="7" t="str">
        <f aca="false">IF(B84="","",IF(OR(P84="I(コア)",P84="II(回転)"),"仕入れ候補",IF(P84="III(厳選)","厳選検討（少数）","見送り")))</f>
        <v/>
      </c>
      <c r="R84" s="20"/>
    </row>
    <row r="85" customFormat="false" ht="15" hidden="false" customHeight="false" outlineLevel="0" collapsed="false">
      <c r="A85" s="18" t="str">
        <f aca="false">IF(B85="","",ROW()-12)</f>
        <v/>
      </c>
      <c r="B85" s="20"/>
      <c r="C85" s="20"/>
      <c r="D85" s="21"/>
      <c r="E85" s="20"/>
      <c r="F85" s="20"/>
      <c r="G85" s="22"/>
      <c r="H85" s="22"/>
      <c r="I85" s="22"/>
      <c r="J85" s="23"/>
      <c r="K85" s="24" t="str">
        <f aca="false">IF(B85="","",J85*IFERROR(INDEX(設定!$C$43:$C$45,MATCH(F85,設定!$B$43:$B$45,0)),1))</f>
        <v/>
      </c>
      <c r="L85" s="25" t="str">
        <f aca="false">IF(B85="","",I85-H85)</f>
        <v/>
      </c>
      <c r="M85" s="26" t="str">
        <f aca="false">IF(B85="","",IF(H85=0,"",L85/H85))</f>
        <v/>
      </c>
      <c r="N85" s="26" t="str">
        <f aca="false">IF(B85="","",IF(J85=0,"",M85*365/J85))</f>
        <v/>
      </c>
      <c r="O85" s="27" t="str">
        <f aca="false">IF(B85="","",IFERROR(M85/INDEX(設定!$C$43:$C$45,MATCH(F85,設定!$B$43:$B$45,0)),""))</f>
        <v/>
      </c>
      <c r="P85" s="7" t="str">
        <f aca="false">IF(B85="","",IF(J85&lt;=設定!$C$6,IF(M85&gt;=設定!$C$7,"I(コア)","II(回転)"),IF(M85&gt;=設定!$C$7,"III(厳選)","IV(見送り)")))</f>
        <v/>
      </c>
      <c r="Q85" s="7" t="str">
        <f aca="false">IF(B85="","",IF(OR(P85="I(コア)",P85="II(回転)"),"仕入れ候補",IF(P85="III(厳選)","厳選検討（少数）","見送り")))</f>
        <v/>
      </c>
      <c r="R85" s="20"/>
    </row>
    <row r="86" customFormat="false" ht="15" hidden="false" customHeight="false" outlineLevel="0" collapsed="false">
      <c r="A86" s="18" t="str">
        <f aca="false">IF(B86="","",ROW()-12)</f>
        <v/>
      </c>
      <c r="B86" s="20"/>
      <c r="C86" s="20"/>
      <c r="D86" s="21"/>
      <c r="E86" s="20"/>
      <c r="F86" s="20"/>
      <c r="G86" s="22"/>
      <c r="H86" s="22"/>
      <c r="I86" s="22"/>
      <c r="J86" s="23"/>
      <c r="K86" s="24" t="str">
        <f aca="false">IF(B86="","",J86*IFERROR(INDEX(設定!$C$43:$C$45,MATCH(F86,設定!$B$43:$B$45,0)),1))</f>
        <v/>
      </c>
      <c r="L86" s="25" t="str">
        <f aca="false">IF(B86="","",I86-H86)</f>
        <v/>
      </c>
      <c r="M86" s="26" t="str">
        <f aca="false">IF(B86="","",IF(H86=0,"",L86/H86))</f>
        <v/>
      </c>
      <c r="N86" s="26" t="str">
        <f aca="false">IF(B86="","",IF(J86=0,"",M86*365/J86))</f>
        <v/>
      </c>
      <c r="O86" s="27" t="str">
        <f aca="false">IF(B86="","",IFERROR(M86/INDEX(設定!$C$43:$C$45,MATCH(F86,設定!$B$43:$B$45,0)),""))</f>
        <v/>
      </c>
      <c r="P86" s="7" t="str">
        <f aca="false">IF(B86="","",IF(J86&lt;=設定!$C$6,IF(M86&gt;=設定!$C$7,"I(コア)","II(回転)"),IF(M86&gt;=設定!$C$7,"III(厳選)","IV(見送り)")))</f>
        <v/>
      </c>
      <c r="Q86" s="7" t="str">
        <f aca="false">IF(B86="","",IF(OR(P86="I(コア)",P86="II(回転)"),"仕入れ候補",IF(P86="III(厳選)","厳選検討（少数）","見送り")))</f>
        <v/>
      </c>
      <c r="R86" s="20"/>
    </row>
    <row r="87" customFormat="false" ht="15" hidden="false" customHeight="false" outlineLevel="0" collapsed="false">
      <c r="A87" s="18" t="str">
        <f aca="false">IF(B87="","",ROW()-12)</f>
        <v/>
      </c>
      <c r="B87" s="20"/>
      <c r="C87" s="20"/>
      <c r="D87" s="21"/>
      <c r="E87" s="20"/>
      <c r="F87" s="20"/>
      <c r="G87" s="22"/>
      <c r="H87" s="22"/>
      <c r="I87" s="22"/>
      <c r="J87" s="23"/>
      <c r="K87" s="24" t="str">
        <f aca="false">IF(B87="","",J87*IFERROR(INDEX(設定!$C$43:$C$45,MATCH(F87,設定!$B$43:$B$45,0)),1))</f>
        <v/>
      </c>
      <c r="L87" s="25" t="str">
        <f aca="false">IF(B87="","",I87-H87)</f>
        <v/>
      </c>
      <c r="M87" s="26" t="str">
        <f aca="false">IF(B87="","",IF(H87=0,"",L87/H87))</f>
        <v/>
      </c>
      <c r="N87" s="26" t="str">
        <f aca="false">IF(B87="","",IF(J87=0,"",M87*365/J87))</f>
        <v/>
      </c>
      <c r="O87" s="27" t="str">
        <f aca="false">IF(B87="","",IFERROR(M87/INDEX(設定!$C$43:$C$45,MATCH(F87,設定!$B$43:$B$45,0)),""))</f>
        <v/>
      </c>
      <c r="P87" s="7" t="str">
        <f aca="false">IF(B87="","",IF(J87&lt;=設定!$C$6,IF(M87&gt;=設定!$C$7,"I(コア)","II(回転)"),IF(M87&gt;=設定!$C$7,"III(厳選)","IV(見送り)")))</f>
        <v/>
      </c>
      <c r="Q87" s="7" t="str">
        <f aca="false">IF(B87="","",IF(OR(P87="I(コア)",P87="II(回転)"),"仕入れ候補",IF(P87="III(厳選)","厳選検討（少数）","見送り")))</f>
        <v/>
      </c>
      <c r="R87" s="20"/>
    </row>
    <row r="88" customFormat="false" ht="15" hidden="false" customHeight="false" outlineLevel="0" collapsed="false">
      <c r="A88" s="18" t="str">
        <f aca="false">IF(B88="","",ROW()-12)</f>
        <v/>
      </c>
      <c r="B88" s="20"/>
      <c r="C88" s="20"/>
      <c r="D88" s="21"/>
      <c r="E88" s="20"/>
      <c r="F88" s="20"/>
      <c r="G88" s="22"/>
      <c r="H88" s="22"/>
      <c r="I88" s="22"/>
      <c r="J88" s="23"/>
      <c r="K88" s="24" t="str">
        <f aca="false">IF(B88="","",J88*IFERROR(INDEX(設定!$C$43:$C$45,MATCH(F88,設定!$B$43:$B$45,0)),1))</f>
        <v/>
      </c>
      <c r="L88" s="25" t="str">
        <f aca="false">IF(B88="","",I88-H88)</f>
        <v/>
      </c>
      <c r="M88" s="26" t="str">
        <f aca="false">IF(B88="","",IF(H88=0,"",L88/H88))</f>
        <v/>
      </c>
      <c r="N88" s="26" t="str">
        <f aca="false">IF(B88="","",IF(J88=0,"",M88*365/J88))</f>
        <v/>
      </c>
      <c r="O88" s="27" t="str">
        <f aca="false">IF(B88="","",IFERROR(M88/INDEX(設定!$C$43:$C$45,MATCH(F88,設定!$B$43:$B$45,0)),""))</f>
        <v/>
      </c>
      <c r="P88" s="7" t="str">
        <f aca="false">IF(B88="","",IF(J88&lt;=設定!$C$6,IF(M88&gt;=設定!$C$7,"I(コア)","II(回転)"),IF(M88&gt;=設定!$C$7,"III(厳選)","IV(見送り)")))</f>
        <v/>
      </c>
      <c r="Q88" s="7" t="str">
        <f aca="false">IF(B88="","",IF(OR(P88="I(コア)",P88="II(回転)"),"仕入れ候補",IF(P88="III(厳選)","厳選検討（少数）","見送り")))</f>
        <v/>
      </c>
      <c r="R88" s="20"/>
    </row>
    <row r="89" customFormat="false" ht="15" hidden="false" customHeight="false" outlineLevel="0" collapsed="false">
      <c r="A89" s="18" t="str">
        <f aca="false">IF(B89="","",ROW()-12)</f>
        <v/>
      </c>
      <c r="B89" s="20"/>
      <c r="C89" s="20"/>
      <c r="D89" s="21"/>
      <c r="E89" s="20"/>
      <c r="F89" s="20"/>
      <c r="G89" s="22"/>
      <c r="H89" s="22"/>
      <c r="I89" s="22"/>
      <c r="J89" s="23"/>
      <c r="K89" s="24" t="str">
        <f aca="false">IF(B89="","",J89*IFERROR(INDEX(設定!$C$43:$C$45,MATCH(F89,設定!$B$43:$B$45,0)),1))</f>
        <v/>
      </c>
      <c r="L89" s="25" t="str">
        <f aca="false">IF(B89="","",I89-H89)</f>
        <v/>
      </c>
      <c r="M89" s="26" t="str">
        <f aca="false">IF(B89="","",IF(H89=0,"",L89/H89))</f>
        <v/>
      </c>
      <c r="N89" s="26" t="str">
        <f aca="false">IF(B89="","",IF(J89=0,"",M89*365/J89))</f>
        <v/>
      </c>
      <c r="O89" s="27" t="str">
        <f aca="false">IF(B89="","",IFERROR(M89/INDEX(設定!$C$43:$C$45,MATCH(F89,設定!$B$43:$B$45,0)),""))</f>
        <v/>
      </c>
      <c r="P89" s="7" t="str">
        <f aca="false">IF(B89="","",IF(J89&lt;=設定!$C$6,IF(M89&gt;=設定!$C$7,"I(コア)","II(回転)"),IF(M89&gt;=設定!$C$7,"III(厳選)","IV(見送り)")))</f>
        <v/>
      </c>
      <c r="Q89" s="7" t="str">
        <f aca="false">IF(B89="","",IF(OR(P89="I(コア)",P89="II(回転)"),"仕入れ候補",IF(P89="III(厳選)","厳選検討（少数）","見送り")))</f>
        <v/>
      </c>
      <c r="R89" s="20"/>
    </row>
    <row r="90" customFormat="false" ht="15" hidden="false" customHeight="false" outlineLevel="0" collapsed="false">
      <c r="A90" s="18" t="str">
        <f aca="false">IF(B90="","",ROW()-12)</f>
        <v/>
      </c>
      <c r="B90" s="20"/>
      <c r="C90" s="20"/>
      <c r="D90" s="21"/>
      <c r="E90" s="20"/>
      <c r="F90" s="20"/>
      <c r="G90" s="22"/>
      <c r="H90" s="22"/>
      <c r="I90" s="22"/>
      <c r="J90" s="23"/>
      <c r="K90" s="24" t="str">
        <f aca="false">IF(B90="","",J90*IFERROR(INDEX(設定!$C$43:$C$45,MATCH(F90,設定!$B$43:$B$45,0)),1))</f>
        <v/>
      </c>
      <c r="L90" s="25" t="str">
        <f aca="false">IF(B90="","",I90-H90)</f>
        <v/>
      </c>
      <c r="M90" s="26" t="str">
        <f aca="false">IF(B90="","",IF(H90=0,"",L90/H90))</f>
        <v/>
      </c>
      <c r="N90" s="26" t="str">
        <f aca="false">IF(B90="","",IF(J90=0,"",M90*365/J90))</f>
        <v/>
      </c>
      <c r="O90" s="27" t="str">
        <f aca="false">IF(B90="","",IFERROR(M90/INDEX(設定!$C$43:$C$45,MATCH(F90,設定!$B$43:$B$45,0)),""))</f>
        <v/>
      </c>
      <c r="P90" s="7" t="str">
        <f aca="false">IF(B90="","",IF(J90&lt;=設定!$C$6,IF(M90&gt;=設定!$C$7,"I(コア)","II(回転)"),IF(M90&gt;=設定!$C$7,"III(厳選)","IV(見送り)")))</f>
        <v/>
      </c>
      <c r="Q90" s="7" t="str">
        <f aca="false">IF(B90="","",IF(OR(P90="I(コア)",P90="II(回転)"),"仕入れ候補",IF(P90="III(厳選)","厳選検討（少数）","見送り")))</f>
        <v/>
      </c>
      <c r="R90" s="20"/>
    </row>
    <row r="91" customFormat="false" ht="15" hidden="false" customHeight="false" outlineLevel="0" collapsed="false">
      <c r="A91" s="18" t="str">
        <f aca="false">IF(B91="","",ROW()-12)</f>
        <v/>
      </c>
      <c r="B91" s="20"/>
      <c r="C91" s="20"/>
      <c r="D91" s="21"/>
      <c r="E91" s="20"/>
      <c r="F91" s="20"/>
      <c r="G91" s="22"/>
      <c r="H91" s="22"/>
      <c r="I91" s="22"/>
      <c r="J91" s="23"/>
      <c r="K91" s="24" t="str">
        <f aca="false">IF(B91="","",J91*IFERROR(INDEX(設定!$C$43:$C$45,MATCH(F91,設定!$B$43:$B$45,0)),1))</f>
        <v/>
      </c>
      <c r="L91" s="25" t="str">
        <f aca="false">IF(B91="","",I91-H91)</f>
        <v/>
      </c>
      <c r="M91" s="26" t="str">
        <f aca="false">IF(B91="","",IF(H91=0,"",L91/H91))</f>
        <v/>
      </c>
      <c r="N91" s="26" t="str">
        <f aca="false">IF(B91="","",IF(J91=0,"",M91*365/J91))</f>
        <v/>
      </c>
      <c r="O91" s="27" t="str">
        <f aca="false">IF(B91="","",IFERROR(M91/INDEX(設定!$C$43:$C$45,MATCH(F91,設定!$B$43:$B$45,0)),""))</f>
        <v/>
      </c>
      <c r="P91" s="7" t="str">
        <f aca="false">IF(B91="","",IF(J91&lt;=設定!$C$6,IF(M91&gt;=設定!$C$7,"I(コア)","II(回転)"),IF(M91&gt;=設定!$C$7,"III(厳選)","IV(見送り)")))</f>
        <v/>
      </c>
      <c r="Q91" s="7" t="str">
        <f aca="false">IF(B91="","",IF(OR(P91="I(コア)",P91="II(回転)"),"仕入れ候補",IF(P91="III(厳選)","厳選検討（少数）","見送り")))</f>
        <v/>
      </c>
      <c r="R91" s="20"/>
    </row>
    <row r="92" customFormat="false" ht="15" hidden="false" customHeight="false" outlineLevel="0" collapsed="false">
      <c r="A92" s="18" t="str">
        <f aca="false">IF(B92="","",ROW()-12)</f>
        <v/>
      </c>
      <c r="B92" s="20"/>
      <c r="C92" s="20"/>
      <c r="D92" s="21"/>
      <c r="E92" s="20"/>
      <c r="F92" s="20"/>
      <c r="G92" s="22"/>
      <c r="H92" s="22"/>
      <c r="I92" s="22"/>
      <c r="J92" s="23"/>
      <c r="K92" s="24" t="str">
        <f aca="false">IF(B92="","",J92*IFERROR(INDEX(設定!$C$43:$C$45,MATCH(F92,設定!$B$43:$B$45,0)),1))</f>
        <v/>
      </c>
      <c r="L92" s="25" t="str">
        <f aca="false">IF(B92="","",I92-H92)</f>
        <v/>
      </c>
      <c r="M92" s="26" t="str">
        <f aca="false">IF(B92="","",IF(H92=0,"",L92/H92))</f>
        <v/>
      </c>
      <c r="N92" s="26" t="str">
        <f aca="false">IF(B92="","",IF(J92=0,"",M92*365/J92))</f>
        <v/>
      </c>
      <c r="O92" s="27" t="str">
        <f aca="false">IF(B92="","",IFERROR(M92/INDEX(設定!$C$43:$C$45,MATCH(F92,設定!$B$43:$B$45,0)),""))</f>
        <v/>
      </c>
      <c r="P92" s="7" t="str">
        <f aca="false">IF(B92="","",IF(J92&lt;=設定!$C$6,IF(M92&gt;=設定!$C$7,"I(コア)","II(回転)"),IF(M92&gt;=設定!$C$7,"III(厳選)","IV(見送り)")))</f>
        <v/>
      </c>
      <c r="Q92" s="7" t="str">
        <f aca="false">IF(B92="","",IF(OR(P92="I(コア)",P92="II(回転)"),"仕入れ候補",IF(P92="III(厳選)","厳選検討（少数）","見送り")))</f>
        <v/>
      </c>
      <c r="R92" s="20"/>
    </row>
    <row r="93" customFormat="false" ht="15" hidden="false" customHeight="false" outlineLevel="0" collapsed="false">
      <c r="A93" s="18" t="str">
        <f aca="false">IF(B93="","",ROW()-12)</f>
        <v/>
      </c>
      <c r="B93" s="20"/>
      <c r="C93" s="20"/>
      <c r="D93" s="21"/>
      <c r="E93" s="20"/>
      <c r="F93" s="20"/>
      <c r="G93" s="22"/>
      <c r="H93" s="22"/>
      <c r="I93" s="22"/>
      <c r="J93" s="23"/>
      <c r="K93" s="24" t="str">
        <f aca="false">IF(B93="","",J93*IFERROR(INDEX(設定!$C$43:$C$45,MATCH(F93,設定!$B$43:$B$45,0)),1))</f>
        <v/>
      </c>
      <c r="L93" s="25" t="str">
        <f aca="false">IF(B93="","",I93-H93)</f>
        <v/>
      </c>
      <c r="M93" s="26" t="str">
        <f aca="false">IF(B93="","",IF(H93=0,"",L93/H93))</f>
        <v/>
      </c>
      <c r="N93" s="26" t="str">
        <f aca="false">IF(B93="","",IF(J93=0,"",M93*365/J93))</f>
        <v/>
      </c>
      <c r="O93" s="27" t="str">
        <f aca="false">IF(B93="","",IFERROR(M93/INDEX(設定!$C$43:$C$45,MATCH(F93,設定!$B$43:$B$45,0)),""))</f>
        <v/>
      </c>
      <c r="P93" s="7" t="str">
        <f aca="false">IF(B93="","",IF(J93&lt;=設定!$C$6,IF(M93&gt;=設定!$C$7,"I(コア)","II(回転)"),IF(M93&gt;=設定!$C$7,"III(厳選)","IV(見送り)")))</f>
        <v/>
      </c>
      <c r="Q93" s="7" t="str">
        <f aca="false">IF(B93="","",IF(OR(P93="I(コア)",P93="II(回転)"),"仕入れ候補",IF(P93="III(厳選)","厳選検討（少数）","見送り")))</f>
        <v/>
      </c>
      <c r="R93" s="20"/>
    </row>
    <row r="94" customFormat="false" ht="15" hidden="false" customHeight="false" outlineLevel="0" collapsed="false">
      <c r="A94" s="18" t="str">
        <f aca="false">IF(B94="","",ROW()-12)</f>
        <v/>
      </c>
      <c r="B94" s="20"/>
      <c r="C94" s="20"/>
      <c r="D94" s="21"/>
      <c r="E94" s="20"/>
      <c r="F94" s="20"/>
      <c r="G94" s="22"/>
      <c r="H94" s="22"/>
      <c r="I94" s="22"/>
      <c r="J94" s="23"/>
      <c r="K94" s="24" t="str">
        <f aca="false">IF(B94="","",J94*IFERROR(INDEX(設定!$C$43:$C$45,MATCH(F94,設定!$B$43:$B$45,0)),1))</f>
        <v/>
      </c>
      <c r="L94" s="25" t="str">
        <f aca="false">IF(B94="","",I94-H94)</f>
        <v/>
      </c>
      <c r="M94" s="26" t="str">
        <f aca="false">IF(B94="","",IF(H94=0,"",L94/H94))</f>
        <v/>
      </c>
      <c r="N94" s="26" t="str">
        <f aca="false">IF(B94="","",IF(J94=0,"",M94*365/J94))</f>
        <v/>
      </c>
      <c r="O94" s="27" t="str">
        <f aca="false">IF(B94="","",IFERROR(M94/INDEX(設定!$C$43:$C$45,MATCH(F94,設定!$B$43:$B$45,0)),""))</f>
        <v/>
      </c>
      <c r="P94" s="7" t="str">
        <f aca="false">IF(B94="","",IF(J94&lt;=設定!$C$6,IF(M94&gt;=設定!$C$7,"I(コア)","II(回転)"),IF(M94&gt;=設定!$C$7,"III(厳選)","IV(見送り)")))</f>
        <v/>
      </c>
      <c r="Q94" s="7" t="str">
        <f aca="false">IF(B94="","",IF(OR(P94="I(コア)",P94="II(回転)"),"仕入れ候補",IF(P94="III(厳選)","厳選検討（少数）","見送り")))</f>
        <v/>
      </c>
      <c r="R94" s="20"/>
    </row>
    <row r="95" customFormat="false" ht="15" hidden="false" customHeight="false" outlineLevel="0" collapsed="false">
      <c r="A95" s="18" t="str">
        <f aca="false">IF(B95="","",ROW()-12)</f>
        <v/>
      </c>
      <c r="B95" s="20"/>
      <c r="C95" s="20"/>
      <c r="D95" s="21"/>
      <c r="E95" s="20"/>
      <c r="F95" s="20"/>
      <c r="G95" s="22"/>
      <c r="H95" s="22"/>
      <c r="I95" s="22"/>
      <c r="J95" s="23"/>
      <c r="K95" s="24" t="str">
        <f aca="false">IF(B95="","",J95*IFERROR(INDEX(設定!$C$43:$C$45,MATCH(F95,設定!$B$43:$B$45,0)),1))</f>
        <v/>
      </c>
      <c r="L95" s="25" t="str">
        <f aca="false">IF(B95="","",I95-H95)</f>
        <v/>
      </c>
      <c r="M95" s="26" t="str">
        <f aca="false">IF(B95="","",IF(H95=0,"",L95/H95))</f>
        <v/>
      </c>
      <c r="N95" s="26" t="str">
        <f aca="false">IF(B95="","",IF(J95=0,"",M95*365/J95))</f>
        <v/>
      </c>
      <c r="O95" s="27" t="str">
        <f aca="false">IF(B95="","",IFERROR(M95/INDEX(設定!$C$43:$C$45,MATCH(F95,設定!$B$43:$B$45,0)),""))</f>
        <v/>
      </c>
      <c r="P95" s="7" t="str">
        <f aca="false">IF(B95="","",IF(J95&lt;=設定!$C$6,IF(M95&gt;=設定!$C$7,"I(コア)","II(回転)"),IF(M95&gt;=設定!$C$7,"III(厳選)","IV(見送り)")))</f>
        <v/>
      </c>
      <c r="Q95" s="7" t="str">
        <f aca="false">IF(B95="","",IF(OR(P95="I(コア)",P95="II(回転)"),"仕入れ候補",IF(P95="III(厳選)","厳選検討（少数）","見送り")))</f>
        <v/>
      </c>
      <c r="R95" s="20"/>
    </row>
    <row r="96" customFormat="false" ht="15" hidden="false" customHeight="false" outlineLevel="0" collapsed="false">
      <c r="A96" s="18" t="str">
        <f aca="false">IF(B96="","",ROW()-12)</f>
        <v/>
      </c>
      <c r="B96" s="20"/>
      <c r="C96" s="20"/>
      <c r="D96" s="21"/>
      <c r="E96" s="20"/>
      <c r="F96" s="20"/>
      <c r="G96" s="22"/>
      <c r="H96" s="22"/>
      <c r="I96" s="22"/>
      <c r="J96" s="23"/>
      <c r="K96" s="24" t="str">
        <f aca="false">IF(B96="","",J96*IFERROR(INDEX(設定!$C$43:$C$45,MATCH(F96,設定!$B$43:$B$45,0)),1))</f>
        <v/>
      </c>
      <c r="L96" s="25" t="str">
        <f aca="false">IF(B96="","",I96-H96)</f>
        <v/>
      </c>
      <c r="M96" s="26" t="str">
        <f aca="false">IF(B96="","",IF(H96=0,"",L96/H96))</f>
        <v/>
      </c>
      <c r="N96" s="26" t="str">
        <f aca="false">IF(B96="","",IF(J96=0,"",M96*365/J96))</f>
        <v/>
      </c>
      <c r="O96" s="27" t="str">
        <f aca="false">IF(B96="","",IFERROR(M96/INDEX(設定!$C$43:$C$45,MATCH(F96,設定!$B$43:$B$45,0)),""))</f>
        <v/>
      </c>
      <c r="P96" s="7" t="str">
        <f aca="false">IF(B96="","",IF(J96&lt;=設定!$C$6,IF(M96&gt;=設定!$C$7,"I(コア)","II(回転)"),IF(M96&gt;=設定!$C$7,"III(厳選)","IV(見送り)")))</f>
        <v/>
      </c>
      <c r="Q96" s="7" t="str">
        <f aca="false">IF(B96="","",IF(OR(P96="I(コア)",P96="II(回転)"),"仕入れ候補",IF(P96="III(厳選)","厳選検討（少数）","見送り")))</f>
        <v/>
      </c>
      <c r="R96" s="20"/>
    </row>
    <row r="97" customFormat="false" ht="15" hidden="false" customHeight="false" outlineLevel="0" collapsed="false">
      <c r="A97" s="18" t="str">
        <f aca="false">IF(B97="","",ROW()-12)</f>
        <v/>
      </c>
      <c r="B97" s="20"/>
      <c r="C97" s="20"/>
      <c r="D97" s="21"/>
      <c r="E97" s="20"/>
      <c r="F97" s="20"/>
      <c r="G97" s="22"/>
      <c r="H97" s="22"/>
      <c r="I97" s="22"/>
      <c r="J97" s="23"/>
      <c r="K97" s="24" t="str">
        <f aca="false">IF(B97="","",J97*IFERROR(INDEX(設定!$C$43:$C$45,MATCH(F97,設定!$B$43:$B$45,0)),1))</f>
        <v/>
      </c>
      <c r="L97" s="25" t="str">
        <f aca="false">IF(B97="","",I97-H97)</f>
        <v/>
      </c>
      <c r="M97" s="26" t="str">
        <f aca="false">IF(B97="","",IF(H97=0,"",L97/H97))</f>
        <v/>
      </c>
      <c r="N97" s="26" t="str">
        <f aca="false">IF(B97="","",IF(J97=0,"",M97*365/J97))</f>
        <v/>
      </c>
      <c r="O97" s="27" t="str">
        <f aca="false">IF(B97="","",IFERROR(M97/INDEX(設定!$C$43:$C$45,MATCH(F97,設定!$B$43:$B$45,0)),""))</f>
        <v/>
      </c>
      <c r="P97" s="7" t="str">
        <f aca="false">IF(B97="","",IF(J97&lt;=設定!$C$6,IF(M97&gt;=設定!$C$7,"I(コア)","II(回転)"),IF(M97&gt;=設定!$C$7,"III(厳選)","IV(見送り)")))</f>
        <v/>
      </c>
      <c r="Q97" s="7" t="str">
        <f aca="false">IF(B97="","",IF(OR(P97="I(コア)",P97="II(回転)"),"仕入れ候補",IF(P97="III(厳選)","厳選検討（少数）","見送り")))</f>
        <v/>
      </c>
      <c r="R97" s="20"/>
    </row>
    <row r="98" customFormat="false" ht="15" hidden="false" customHeight="false" outlineLevel="0" collapsed="false">
      <c r="A98" s="18" t="str">
        <f aca="false">IF(B98="","",ROW()-12)</f>
        <v/>
      </c>
      <c r="B98" s="20"/>
      <c r="C98" s="20"/>
      <c r="D98" s="21"/>
      <c r="E98" s="20"/>
      <c r="F98" s="20"/>
      <c r="G98" s="22"/>
      <c r="H98" s="22"/>
      <c r="I98" s="22"/>
      <c r="J98" s="23"/>
      <c r="K98" s="24" t="str">
        <f aca="false">IF(B98="","",J98*IFERROR(INDEX(設定!$C$43:$C$45,MATCH(F98,設定!$B$43:$B$45,0)),1))</f>
        <v/>
      </c>
      <c r="L98" s="25" t="str">
        <f aca="false">IF(B98="","",I98-H98)</f>
        <v/>
      </c>
      <c r="M98" s="26" t="str">
        <f aca="false">IF(B98="","",IF(H98=0,"",L98/H98))</f>
        <v/>
      </c>
      <c r="N98" s="26" t="str">
        <f aca="false">IF(B98="","",IF(J98=0,"",M98*365/J98))</f>
        <v/>
      </c>
      <c r="O98" s="27" t="str">
        <f aca="false">IF(B98="","",IFERROR(M98/INDEX(設定!$C$43:$C$45,MATCH(F98,設定!$B$43:$B$45,0)),""))</f>
        <v/>
      </c>
      <c r="P98" s="7" t="str">
        <f aca="false">IF(B98="","",IF(J98&lt;=設定!$C$6,IF(M98&gt;=設定!$C$7,"I(コア)","II(回転)"),IF(M98&gt;=設定!$C$7,"III(厳選)","IV(見送り)")))</f>
        <v/>
      </c>
      <c r="Q98" s="7" t="str">
        <f aca="false">IF(B98="","",IF(OR(P98="I(コア)",P98="II(回転)"),"仕入れ候補",IF(P98="III(厳選)","厳選検討（少数）","見送り")))</f>
        <v/>
      </c>
      <c r="R98" s="20"/>
    </row>
    <row r="99" customFormat="false" ht="15" hidden="false" customHeight="false" outlineLevel="0" collapsed="false">
      <c r="A99" s="18" t="str">
        <f aca="false">IF(B99="","",ROW()-12)</f>
        <v/>
      </c>
      <c r="B99" s="20"/>
      <c r="C99" s="20"/>
      <c r="D99" s="21"/>
      <c r="E99" s="20"/>
      <c r="F99" s="20"/>
      <c r="G99" s="22"/>
      <c r="H99" s="22"/>
      <c r="I99" s="22"/>
      <c r="J99" s="23"/>
      <c r="K99" s="24" t="str">
        <f aca="false">IF(B99="","",J99*IFERROR(INDEX(設定!$C$43:$C$45,MATCH(F99,設定!$B$43:$B$45,0)),1))</f>
        <v/>
      </c>
      <c r="L99" s="25" t="str">
        <f aca="false">IF(B99="","",I99-H99)</f>
        <v/>
      </c>
      <c r="M99" s="26" t="str">
        <f aca="false">IF(B99="","",IF(H99=0,"",L99/H99))</f>
        <v/>
      </c>
      <c r="N99" s="26" t="str">
        <f aca="false">IF(B99="","",IF(J99=0,"",M99*365/J99))</f>
        <v/>
      </c>
      <c r="O99" s="27" t="str">
        <f aca="false">IF(B99="","",IFERROR(M99/INDEX(設定!$C$43:$C$45,MATCH(F99,設定!$B$43:$B$45,0)),""))</f>
        <v/>
      </c>
      <c r="P99" s="7" t="str">
        <f aca="false">IF(B99="","",IF(J99&lt;=設定!$C$6,IF(M99&gt;=設定!$C$7,"I(コア)","II(回転)"),IF(M99&gt;=設定!$C$7,"III(厳選)","IV(見送り)")))</f>
        <v/>
      </c>
      <c r="Q99" s="7" t="str">
        <f aca="false">IF(B99="","",IF(OR(P99="I(コア)",P99="II(回転)"),"仕入れ候補",IF(P99="III(厳選)","厳選検討（少数）","見送り")))</f>
        <v/>
      </c>
      <c r="R99" s="20"/>
    </row>
    <row r="100" customFormat="false" ht="15" hidden="false" customHeight="false" outlineLevel="0" collapsed="false">
      <c r="A100" s="18" t="str">
        <f aca="false">IF(B100="","",ROW()-12)</f>
        <v/>
      </c>
      <c r="B100" s="20"/>
      <c r="C100" s="20"/>
      <c r="D100" s="21"/>
      <c r="E100" s="20"/>
      <c r="F100" s="20"/>
      <c r="G100" s="22"/>
      <c r="H100" s="22"/>
      <c r="I100" s="22"/>
      <c r="J100" s="23"/>
      <c r="K100" s="24" t="str">
        <f aca="false">IF(B100="","",J100*IFERROR(INDEX(設定!$C$43:$C$45,MATCH(F100,設定!$B$43:$B$45,0)),1))</f>
        <v/>
      </c>
      <c r="L100" s="25" t="str">
        <f aca="false">IF(B100="","",I100-H100)</f>
        <v/>
      </c>
      <c r="M100" s="26" t="str">
        <f aca="false">IF(B100="","",IF(H100=0,"",L100/H100))</f>
        <v/>
      </c>
      <c r="N100" s="26" t="str">
        <f aca="false">IF(B100="","",IF(J100=0,"",M100*365/J100))</f>
        <v/>
      </c>
      <c r="O100" s="27" t="str">
        <f aca="false">IF(B100="","",IFERROR(M100/INDEX(設定!$C$43:$C$45,MATCH(F100,設定!$B$43:$B$45,0)),""))</f>
        <v/>
      </c>
      <c r="P100" s="7" t="str">
        <f aca="false">IF(B100="","",IF(J100&lt;=設定!$C$6,IF(M100&gt;=設定!$C$7,"I(コア)","II(回転)"),IF(M100&gt;=設定!$C$7,"III(厳選)","IV(見送り)")))</f>
        <v/>
      </c>
      <c r="Q100" s="7" t="str">
        <f aca="false">IF(B100="","",IF(OR(P100="I(コア)",P100="II(回転)"),"仕入れ候補",IF(P100="III(厳選)","厳選検討（少数）","見送り")))</f>
        <v/>
      </c>
      <c r="R100" s="20"/>
    </row>
    <row r="101" customFormat="false" ht="15" hidden="false" customHeight="false" outlineLevel="0" collapsed="false">
      <c r="A101" s="18" t="str">
        <f aca="false">IF(B101="","",ROW()-12)</f>
        <v/>
      </c>
      <c r="B101" s="20"/>
      <c r="C101" s="20"/>
      <c r="D101" s="21"/>
      <c r="E101" s="20"/>
      <c r="F101" s="20"/>
      <c r="G101" s="22"/>
      <c r="H101" s="22"/>
      <c r="I101" s="22"/>
      <c r="J101" s="23"/>
      <c r="K101" s="24" t="str">
        <f aca="false">IF(B101="","",J101*IFERROR(INDEX(設定!$C$43:$C$45,MATCH(F101,設定!$B$43:$B$45,0)),1))</f>
        <v/>
      </c>
      <c r="L101" s="25" t="str">
        <f aca="false">IF(B101="","",I101-H101)</f>
        <v/>
      </c>
      <c r="M101" s="26" t="str">
        <f aca="false">IF(B101="","",IF(H101=0,"",L101/H101))</f>
        <v/>
      </c>
      <c r="N101" s="26" t="str">
        <f aca="false">IF(B101="","",IF(J101=0,"",M101*365/J101))</f>
        <v/>
      </c>
      <c r="O101" s="27" t="str">
        <f aca="false">IF(B101="","",IFERROR(M101/INDEX(設定!$C$43:$C$45,MATCH(F101,設定!$B$43:$B$45,0)),""))</f>
        <v/>
      </c>
      <c r="P101" s="7" t="str">
        <f aca="false">IF(B101="","",IF(J101&lt;=設定!$C$6,IF(M101&gt;=設定!$C$7,"I(コア)","II(回転)"),IF(M101&gt;=設定!$C$7,"III(厳選)","IV(見送り)")))</f>
        <v/>
      </c>
      <c r="Q101" s="7" t="str">
        <f aca="false">IF(B101="","",IF(OR(P101="I(コア)",P101="II(回転)"),"仕入れ候補",IF(P101="III(厳選)","厳選検討（少数）","見送り")))</f>
        <v/>
      </c>
      <c r="R101" s="20"/>
    </row>
    <row r="102" customFormat="false" ht="15" hidden="false" customHeight="false" outlineLevel="0" collapsed="false">
      <c r="A102" s="18" t="str">
        <f aca="false">IF(B102="","",ROW()-12)</f>
        <v/>
      </c>
      <c r="B102" s="20"/>
      <c r="C102" s="20"/>
      <c r="D102" s="21"/>
      <c r="E102" s="20"/>
      <c r="F102" s="20"/>
      <c r="G102" s="22"/>
      <c r="H102" s="22"/>
      <c r="I102" s="22"/>
      <c r="J102" s="23"/>
      <c r="K102" s="24" t="str">
        <f aca="false">IF(B102="","",J102*IFERROR(INDEX(設定!$C$43:$C$45,MATCH(F102,設定!$B$43:$B$45,0)),1))</f>
        <v/>
      </c>
      <c r="L102" s="25" t="str">
        <f aca="false">IF(B102="","",I102-H102)</f>
        <v/>
      </c>
      <c r="M102" s="26" t="str">
        <f aca="false">IF(B102="","",IF(H102=0,"",L102/H102))</f>
        <v/>
      </c>
      <c r="N102" s="26" t="str">
        <f aca="false">IF(B102="","",IF(J102=0,"",M102*365/J102))</f>
        <v/>
      </c>
      <c r="O102" s="27" t="str">
        <f aca="false">IF(B102="","",IFERROR(M102/INDEX(設定!$C$43:$C$45,MATCH(F102,設定!$B$43:$B$45,0)),""))</f>
        <v/>
      </c>
      <c r="P102" s="7" t="str">
        <f aca="false">IF(B102="","",IF(J102&lt;=設定!$C$6,IF(M102&gt;=設定!$C$7,"I(コア)","II(回転)"),IF(M102&gt;=設定!$C$7,"III(厳選)","IV(見送り)")))</f>
        <v/>
      </c>
      <c r="Q102" s="7" t="str">
        <f aca="false">IF(B102="","",IF(OR(P102="I(コア)",P102="II(回転)"),"仕入れ候補",IF(P102="III(厳選)","厳選検討（少数）","見送り")))</f>
        <v/>
      </c>
      <c r="R102" s="20"/>
    </row>
    <row r="103" customFormat="false" ht="15" hidden="false" customHeight="false" outlineLevel="0" collapsed="false">
      <c r="A103" s="18" t="str">
        <f aca="false">IF(B103="","",ROW()-12)</f>
        <v/>
      </c>
      <c r="B103" s="20"/>
      <c r="C103" s="20"/>
      <c r="D103" s="21"/>
      <c r="E103" s="20"/>
      <c r="F103" s="20"/>
      <c r="G103" s="22"/>
      <c r="H103" s="22"/>
      <c r="I103" s="22"/>
      <c r="J103" s="23"/>
      <c r="K103" s="24" t="str">
        <f aca="false">IF(B103="","",J103*IFERROR(INDEX(設定!$C$43:$C$45,MATCH(F103,設定!$B$43:$B$45,0)),1))</f>
        <v/>
      </c>
      <c r="L103" s="25" t="str">
        <f aca="false">IF(B103="","",I103-H103)</f>
        <v/>
      </c>
      <c r="M103" s="26" t="str">
        <f aca="false">IF(B103="","",IF(H103=0,"",L103/H103))</f>
        <v/>
      </c>
      <c r="N103" s="26" t="str">
        <f aca="false">IF(B103="","",IF(J103=0,"",M103*365/J103))</f>
        <v/>
      </c>
      <c r="O103" s="27" t="str">
        <f aca="false">IF(B103="","",IFERROR(M103/INDEX(設定!$C$43:$C$45,MATCH(F103,設定!$B$43:$B$45,0)),""))</f>
        <v/>
      </c>
      <c r="P103" s="7" t="str">
        <f aca="false">IF(B103="","",IF(J103&lt;=設定!$C$6,IF(M103&gt;=設定!$C$7,"I(コア)","II(回転)"),IF(M103&gt;=設定!$C$7,"III(厳選)","IV(見送り)")))</f>
        <v/>
      </c>
      <c r="Q103" s="7" t="str">
        <f aca="false">IF(B103="","",IF(OR(P103="I(コア)",P103="II(回転)"),"仕入れ候補",IF(P103="III(厳選)","厳選検討（少数）","見送り")))</f>
        <v/>
      </c>
      <c r="R103" s="20"/>
    </row>
    <row r="104" customFormat="false" ht="15" hidden="false" customHeight="false" outlineLevel="0" collapsed="false">
      <c r="A104" s="18" t="str">
        <f aca="false">IF(B104="","",ROW()-12)</f>
        <v/>
      </c>
      <c r="B104" s="20"/>
      <c r="C104" s="20"/>
      <c r="D104" s="21"/>
      <c r="E104" s="20"/>
      <c r="F104" s="20"/>
      <c r="G104" s="22"/>
      <c r="H104" s="22"/>
      <c r="I104" s="22"/>
      <c r="J104" s="23"/>
      <c r="K104" s="24" t="str">
        <f aca="false">IF(B104="","",J104*IFERROR(INDEX(設定!$C$43:$C$45,MATCH(F104,設定!$B$43:$B$45,0)),1))</f>
        <v/>
      </c>
      <c r="L104" s="25" t="str">
        <f aca="false">IF(B104="","",I104-H104)</f>
        <v/>
      </c>
      <c r="M104" s="26" t="str">
        <f aca="false">IF(B104="","",IF(H104=0,"",L104/H104))</f>
        <v/>
      </c>
      <c r="N104" s="26" t="str">
        <f aca="false">IF(B104="","",IF(J104=0,"",M104*365/J104))</f>
        <v/>
      </c>
      <c r="O104" s="27" t="str">
        <f aca="false">IF(B104="","",IFERROR(M104/INDEX(設定!$C$43:$C$45,MATCH(F104,設定!$B$43:$B$45,0)),""))</f>
        <v/>
      </c>
      <c r="P104" s="7" t="str">
        <f aca="false">IF(B104="","",IF(J104&lt;=設定!$C$6,IF(M104&gt;=設定!$C$7,"I(コア)","II(回転)"),IF(M104&gt;=設定!$C$7,"III(厳選)","IV(見送り)")))</f>
        <v/>
      </c>
      <c r="Q104" s="7" t="str">
        <f aca="false">IF(B104="","",IF(OR(P104="I(コア)",P104="II(回転)"),"仕入れ候補",IF(P104="III(厳選)","厳選検討（少数）","見送り")))</f>
        <v/>
      </c>
      <c r="R104" s="20"/>
    </row>
    <row r="105" customFormat="false" ht="15" hidden="false" customHeight="false" outlineLevel="0" collapsed="false">
      <c r="A105" s="18" t="str">
        <f aca="false">IF(B105="","",ROW()-12)</f>
        <v/>
      </c>
      <c r="B105" s="20"/>
      <c r="C105" s="20"/>
      <c r="D105" s="21"/>
      <c r="E105" s="20"/>
      <c r="F105" s="20"/>
      <c r="G105" s="22"/>
      <c r="H105" s="22"/>
      <c r="I105" s="22"/>
      <c r="J105" s="23"/>
      <c r="K105" s="24" t="str">
        <f aca="false">IF(B105="","",J105*IFERROR(INDEX(設定!$C$43:$C$45,MATCH(F105,設定!$B$43:$B$45,0)),1))</f>
        <v/>
      </c>
      <c r="L105" s="25" t="str">
        <f aca="false">IF(B105="","",I105-H105)</f>
        <v/>
      </c>
      <c r="M105" s="26" t="str">
        <f aca="false">IF(B105="","",IF(H105=0,"",L105/H105))</f>
        <v/>
      </c>
      <c r="N105" s="26" t="str">
        <f aca="false">IF(B105="","",IF(J105=0,"",M105*365/J105))</f>
        <v/>
      </c>
      <c r="O105" s="27" t="str">
        <f aca="false">IF(B105="","",IFERROR(M105/INDEX(設定!$C$43:$C$45,MATCH(F105,設定!$B$43:$B$45,0)),""))</f>
        <v/>
      </c>
      <c r="P105" s="7" t="str">
        <f aca="false">IF(B105="","",IF(J105&lt;=設定!$C$6,IF(M105&gt;=設定!$C$7,"I(コア)","II(回転)"),IF(M105&gt;=設定!$C$7,"III(厳選)","IV(見送り)")))</f>
        <v/>
      </c>
      <c r="Q105" s="7" t="str">
        <f aca="false">IF(B105="","",IF(OR(P105="I(コア)",P105="II(回転)"),"仕入れ候補",IF(P105="III(厳選)","厳選検討（少数）","見送り")))</f>
        <v/>
      </c>
      <c r="R105" s="20"/>
    </row>
    <row r="106" customFormat="false" ht="15" hidden="false" customHeight="false" outlineLevel="0" collapsed="false">
      <c r="A106" s="18" t="str">
        <f aca="false">IF(B106="","",ROW()-12)</f>
        <v/>
      </c>
      <c r="B106" s="20"/>
      <c r="C106" s="20"/>
      <c r="D106" s="21"/>
      <c r="E106" s="20"/>
      <c r="F106" s="20"/>
      <c r="G106" s="22"/>
      <c r="H106" s="22"/>
      <c r="I106" s="22"/>
      <c r="J106" s="23"/>
      <c r="K106" s="24" t="str">
        <f aca="false">IF(B106="","",J106*IFERROR(INDEX(設定!$C$43:$C$45,MATCH(F106,設定!$B$43:$B$45,0)),1))</f>
        <v/>
      </c>
      <c r="L106" s="25" t="str">
        <f aca="false">IF(B106="","",I106-H106)</f>
        <v/>
      </c>
      <c r="M106" s="26" t="str">
        <f aca="false">IF(B106="","",IF(H106=0,"",L106/H106))</f>
        <v/>
      </c>
      <c r="N106" s="26" t="str">
        <f aca="false">IF(B106="","",IF(J106=0,"",M106*365/J106))</f>
        <v/>
      </c>
      <c r="O106" s="27" t="str">
        <f aca="false">IF(B106="","",IFERROR(M106/INDEX(設定!$C$43:$C$45,MATCH(F106,設定!$B$43:$B$45,0)),""))</f>
        <v/>
      </c>
      <c r="P106" s="7" t="str">
        <f aca="false">IF(B106="","",IF(J106&lt;=設定!$C$6,IF(M106&gt;=設定!$C$7,"I(コア)","II(回転)"),IF(M106&gt;=設定!$C$7,"III(厳選)","IV(見送り)")))</f>
        <v/>
      </c>
      <c r="Q106" s="7" t="str">
        <f aca="false">IF(B106="","",IF(OR(P106="I(コア)",P106="II(回転)"),"仕入れ候補",IF(P106="III(厳選)","厳選検討（少数）","見送り")))</f>
        <v/>
      </c>
      <c r="R106" s="20"/>
    </row>
    <row r="107" customFormat="false" ht="15" hidden="false" customHeight="false" outlineLevel="0" collapsed="false">
      <c r="A107" s="18" t="str">
        <f aca="false">IF(B107="","",ROW()-12)</f>
        <v/>
      </c>
      <c r="B107" s="20"/>
      <c r="C107" s="20"/>
      <c r="D107" s="21"/>
      <c r="E107" s="20"/>
      <c r="F107" s="20"/>
      <c r="G107" s="22"/>
      <c r="H107" s="22"/>
      <c r="I107" s="22"/>
      <c r="J107" s="23"/>
      <c r="K107" s="24" t="str">
        <f aca="false">IF(B107="","",J107*IFERROR(INDEX(設定!$C$43:$C$45,MATCH(F107,設定!$B$43:$B$45,0)),1))</f>
        <v/>
      </c>
      <c r="L107" s="25" t="str">
        <f aca="false">IF(B107="","",I107-H107)</f>
        <v/>
      </c>
      <c r="M107" s="26" t="str">
        <f aca="false">IF(B107="","",IF(H107=0,"",L107/H107))</f>
        <v/>
      </c>
      <c r="N107" s="26" t="str">
        <f aca="false">IF(B107="","",IF(J107=0,"",M107*365/J107))</f>
        <v/>
      </c>
      <c r="O107" s="27" t="str">
        <f aca="false">IF(B107="","",IFERROR(M107/INDEX(設定!$C$43:$C$45,MATCH(F107,設定!$B$43:$B$45,0)),""))</f>
        <v/>
      </c>
      <c r="P107" s="7" t="str">
        <f aca="false">IF(B107="","",IF(J107&lt;=設定!$C$6,IF(M107&gt;=設定!$C$7,"I(コア)","II(回転)"),IF(M107&gt;=設定!$C$7,"III(厳選)","IV(見送り)")))</f>
        <v/>
      </c>
      <c r="Q107" s="7" t="str">
        <f aca="false">IF(B107="","",IF(OR(P107="I(コア)",P107="II(回転)"),"仕入れ候補",IF(P107="III(厳選)","厳選検討（少数）","見送り")))</f>
        <v/>
      </c>
      <c r="R107" s="20"/>
    </row>
    <row r="108" customFormat="false" ht="15" hidden="false" customHeight="false" outlineLevel="0" collapsed="false">
      <c r="A108" s="18" t="str">
        <f aca="false">IF(B108="","",ROW()-12)</f>
        <v/>
      </c>
      <c r="B108" s="20"/>
      <c r="C108" s="20"/>
      <c r="D108" s="21"/>
      <c r="E108" s="20"/>
      <c r="F108" s="20"/>
      <c r="G108" s="22"/>
      <c r="H108" s="22"/>
      <c r="I108" s="22"/>
      <c r="J108" s="23"/>
      <c r="K108" s="24" t="str">
        <f aca="false">IF(B108="","",J108*IFERROR(INDEX(設定!$C$43:$C$45,MATCH(F108,設定!$B$43:$B$45,0)),1))</f>
        <v/>
      </c>
      <c r="L108" s="25" t="str">
        <f aca="false">IF(B108="","",I108-H108)</f>
        <v/>
      </c>
      <c r="M108" s="26" t="str">
        <f aca="false">IF(B108="","",IF(H108=0,"",L108/H108))</f>
        <v/>
      </c>
      <c r="N108" s="26" t="str">
        <f aca="false">IF(B108="","",IF(J108=0,"",M108*365/J108))</f>
        <v/>
      </c>
      <c r="O108" s="27" t="str">
        <f aca="false">IF(B108="","",IFERROR(M108/INDEX(設定!$C$43:$C$45,MATCH(F108,設定!$B$43:$B$45,0)),""))</f>
        <v/>
      </c>
      <c r="P108" s="7" t="str">
        <f aca="false">IF(B108="","",IF(J108&lt;=設定!$C$6,IF(M108&gt;=設定!$C$7,"I(コア)","II(回転)"),IF(M108&gt;=設定!$C$7,"III(厳選)","IV(見送り)")))</f>
        <v/>
      </c>
      <c r="Q108" s="7" t="str">
        <f aca="false">IF(B108="","",IF(OR(P108="I(コア)",P108="II(回転)"),"仕入れ候補",IF(P108="III(厳選)","厳選検討（少数）","見送り")))</f>
        <v/>
      </c>
      <c r="R108" s="20"/>
    </row>
    <row r="109" customFormat="false" ht="15" hidden="false" customHeight="false" outlineLevel="0" collapsed="false">
      <c r="A109" s="18" t="str">
        <f aca="false">IF(B109="","",ROW()-12)</f>
        <v/>
      </c>
      <c r="B109" s="20"/>
      <c r="C109" s="20"/>
      <c r="D109" s="21"/>
      <c r="E109" s="20"/>
      <c r="F109" s="20"/>
      <c r="G109" s="22"/>
      <c r="H109" s="22"/>
      <c r="I109" s="22"/>
      <c r="J109" s="23"/>
      <c r="K109" s="24" t="str">
        <f aca="false">IF(B109="","",J109*IFERROR(INDEX(設定!$C$43:$C$45,MATCH(F109,設定!$B$43:$B$45,0)),1))</f>
        <v/>
      </c>
      <c r="L109" s="25" t="str">
        <f aca="false">IF(B109="","",I109-H109)</f>
        <v/>
      </c>
      <c r="M109" s="26" t="str">
        <f aca="false">IF(B109="","",IF(H109=0,"",L109/H109))</f>
        <v/>
      </c>
      <c r="N109" s="26" t="str">
        <f aca="false">IF(B109="","",IF(J109=0,"",M109*365/J109))</f>
        <v/>
      </c>
      <c r="O109" s="27" t="str">
        <f aca="false">IF(B109="","",IFERROR(M109/INDEX(設定!$C$43:$C$45,MATCH(F109,設定!$B$43:$B$45,0)),""))</f>
        <v/>
      </c>
      <c r="P109" s="7" t="str">
        <f aca="false">IF(B109="","",IF(J109&lt;=設定!$C$6,IF(M109&gt;=設定!$C$7,"I(コア)","II(回転)"),IF(M109&gt;=設定!$C$7,"III(厳選)","IV(見送り)")))</f>
        <v/>
      </c>
      <c r="Q109" s="7" t="str">
        <f aca="false">IF(B109="","",IF(OR(P109="I(コア)",P109="II(回転)"),"仕入れ候補",IF(P109="III(厳選)","厳選検討（少数）","見送り")))</f>
        <v/>
      </c>
      <c r="R109" s="20"/>
    </row>
    <row r="110" customFormat="false" ht="15" hidden="false" customHeight="false" outlineLevel="0" collapsed="false">
      <c r="A110" s="18" t="str">
        <f aca="false">IF(B110="","",ROW()-12)</f>
        <v/>
      </c>
      <c r="B110" s="20"/>
      <c r="C110" s="20"/>
      <c r="D110" s="21"/>
      <c r="E110" s="20"/>
      <c r="F110" s="20"/>
      <c r="G110" s="22"/>
      <c r="H110" s="22"/>
      <c r="I110" s="22"/>
      <c r="J110" s="23"/>
      <c r="K110" s="24" t="str">
        <f aca="false">IF(B110="","",J110*IFERROR(INDEX(設定!$C$43:$C$45,MATCH(F110,設定!$B$43:$B$45,0)),1))</f>
        <v/>
      </c>
      <c r="L110" s="25" t="str">
        <f aca="false">IF(B110="","",I110-H110)</f>
        <v/>
      </c>
      <c r="M110" s="26" t="str">
        <f aca="false">IF(B110="","",IF(H110=0,"",L110/H110))</f>
        <v/>
      </c>
      <c r="N110" s="26" t="str">
        <f aca="false">IF(B110="","",IF(J110=0,"",M110*365/J110))</f>
        <v/>
      </c>
      <c r="O110" s="27" t="str">
        <f aca="false">IF(B110="","",IFERROR(M110/INDEX(設定!$C$43:$C$45,MATCH(F110,設定!$B$43:$B$45,0)),""))</f>
        <v/>
      </c>
      <c r="P110" s="7" t="str">
        <f aca="false">IF(B110="","",IF(J110&lt;=設定!$C$6,IF(M110&gt;=設定!$C$7,"I(コア)","II(回転)"),IF(M110&gt;=設定!$C$7,"III(厳選)","IV(見送り)")))</f>
        <v/>
      </c>
      <c r="Q110" s="7" t="str">
        <f aca="false">IF(B110="","",IF(OR(P110="I(コア)",P110="II(回転)"),"仕入れ候補",IF(P110="III(厳選)","厳選検討（少数）","見送り")))</f>
        <v/>
      </c>
      <c r="R110" s="20"/>
    </row>
    <row r="111" customFormat="false" ht="15" hidden="false" customHeight="false" outlineLevel="0" collapsed="false">
      <c r="A111" s="18" t="str">
        <f aca="false">IF(B111="","",ROW()-12)</f>
        <v/>
      </c>
      <c r="B111" s="20"/>
      <c r="C111" s="20"/>
      <c r="D111" s="21"/>
      <c r="E111" s="20"/>
      <c r="F111" s="20"/>
      <c r="G111" s="22"/>
      <c r="H111" s="22"/>
      <c r="I111" s="22"/>
      <c r="J111" s="23"/>
      <c r="K111" s="24" t="str">
        <f aca="false">IF(B111="","",J111*IFERROR(INDEX(設定!$C$43:$C$45,MATCH(F111,設定!$B$43:$B$45,0)),1))</f>
        <v/>
      </c>
      <c r="L111" s="25" t="str">
        <f aca="false">IF(B111="","",I111-H111)</f>
        <v/>
      </c>
      <c r="M111" s="26" t="str">
        <f aca="false">IF(B111="","",IF(H111=0,"",L111/H111))</f>
        <v/>
      </c>
      <c r="N111" s="26" t="str">
        <f aca="false">IF(B111="","",IF(J111=0,"",M111*365/J111))</f>
        <v/>
      </c>
      <c r="O111" s="27" t="str">
        <f aca="false">IF(B111="","",IFERROR(M111/INDEX(設定!$C$43:$C$45,MATCH(F111,設定!$B$43:$B$45,0)),""))</f>
        <v/>
      </c>
      <c r="P111" s="7" t="str">
        <f aca="false">IF(B111="","",IF(J111&lt;=設定!$C$6,IF(M111&gt;=設定!$C$7,"I(コア)","II(回転)"),IF(M111&gt;=設定!$C$7,"III(厳選)","IV(見送り)")))</f>
        <v/>
      </c>
      <c r="Q111" s="7" t="str">
        <f aca="false">IF(B111="","",IF(OR(P111="I(コア)",P111="II(回転)"),"仕入れ候補",IF(P111="III(厳選)","厳選検討（少数）","見送り")))</f>
        <v/>
      </c>
      <c r="R111" s="20"/>
    </row>
    <row r="112" customFormat="false" ht="15" hidden="false" customHeight="false" outlineLevel="0" collapsed="false">
      <c r="A112" s="18" t="str">
        <f aca="false">IF(B112="","",ROW()-12)</f>
        <v/>
      </c>
      <c r="B112" s="20"/>
      <c r="C112" s="20"/>
      <c r="D112" s="21"/>
      <c r="E112" s="20"/>
      <c r="F112" s="20"/>
      <c r="G112" s="22"/>
      <c r="H112" s="22"/>
      <c r="I112" s="22"/>
      <c r="J112" s="23"/>
      <c r="K112" s="24" t="str">
        <f aca="false">IF(B112="","",J112*IFERROR(INDEX(設定!$C$43:$C$45,MATCH(F112,設定!$B$43:$B$45,0)),1))</f>
        <v/>
      </c>
      <c r="L112" s="25" t="str">
        <f aca="false">IF(B112="","",I112-H112)</f>
        <v/>
      </c>
      <c r="M112" s="26" t="str">
        <f aca="false">IF(B112="","",IF(H112=0,"",L112/H112))</f>
        <v/>
      </c>
      <c r="N112" s="26" t="str">
        <f aca="false">IF(B112="","",IF(J112=0,"",M112*365/J112))</f>
        <v/>
      </c>
      <c r="O112" s="27" t="str">
        <f aca="false">IF(B112="","",IFERROR(M112/INDEX(設定!$C$43:$C$45,MATCH(F112,設定!$B$43:$B$45,0)),""))</f>
        <v/>
      </c>
      <c r="P112" s="7" t="str">
        <f aca="false">IF(B112="","",IF(J112&lt;=設定!$C$6,IF(M112&gt;=設定!$C$7,"I(コア)","II(回転)"),IF(M112&gt;=設定!$C$7,"III(厳選)","IV(見送り)")))</f>
        <v/>
      </c>
      <c r="Q112" s="7" t="str">
        <f aca="false">IF(B112="","",IF(OR(P112="I(コア)",P112="II(回転)"),"仕入れ候補",IF(P112="III(厳選)","厳選検討（少数）","見送り")))</f>
        <v/>
      </c>
      <c r="R112" s="20"/>
    </row>
  </sheetData>
  <dataValidations count="4">
    <dataValidation allowBlank="true" errorStyle="stop" operator="between" showDropDown="false" showErrorMessage="false" showInputMessage="false" sqref="C13:C112" type="list">
      <formula1>設定!$B$20:$B$25</formula1>
      <formula2>0</formula2>
    </dataValidation>
    <dataValidation allowBlank="true" errorStyle="stop" operator="between" showDropDown="false" showErrorMessage="false" showInputMessage="false" sqref="D13:D112" type="list">
      <formula1>設定!$B$29:$B$33</formula1>
      <formula2>0</formula2>
    </dataValidation>
    <dataValidation allowBlank="true" errorStyle="stop" operator="between" showDropDown="false" showErrorMessage="false" showInputMessage="false" sqref="E13:E112" type="list">
      <formula1>設定!$B$37:$B$39</formula1>
      <formula2>0</formula2>
    </dataValidation>
    <dataValidation allowBlank="true" errorStyle="stop" operator="between" showDropDown="false" showErrorMessage="false" showInputMessage="false" sqref="F13:F112" type="list">
      <formula1>設定!$B$43:$B$45</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10"/>
    <col collapsed="false" customWidth="true" hidden="false" outlineLevel="0" max="3" min="3" style="0" width="26"/>
    <col collapsed="false" customWidth="true" hidden="false" outlineLevel="0" max="4" min="4" style="0" width="20"/>
    <col collapsed="false" customWidth="true" hidden="false" outlineLevel="0" max="5" min="5" style="0" width="13"/>
    <col collapsed="false" customWidth="true" hidden="false" outlineLevel="0" max="7" min="6" style="0" width="12"/>
    <col collapsed="false" customWidth="true" hidden="false" outlineLevel="0" max="8" min="8" style="0" width="14"/>
    <col collapsed="false" customWidth="true" hidden="false" outlineLevel="0" max="9" min="9" style="0" width="11"/>
    <col collapsed="false" customWidth="true" hidden="false" outlineLevel="0" max="10" min="10" style="0" width="13"/>
    <col collapsed="false" customWidth="true" hidden="false" outlineLevel="0" max="13" min="11" style="0" width="11"/>
  </cols>
  <sheetData>
    <row r="2" customFormat="false" ht="19.7" hidden="false" customHeight="false" outlineLevel="0" collapsed="false">
      <c r="B2" s="1" t="s">
        <v>139</v>
      </c>
    </row>
    <row r="3" customFormat="false" ht="15" hidden="false" customHeight="false" outlineLevel="0" collapsed="false">
      <c r="B3" s="2" t="s">
        <v>140</v>
      </c>
    </row>
    <row r="5" customFormat="false" ht="15" hidden="false" customHeight="false" outlineLevel="0" collapsed="false">
      <c r="B5" s="7" t="s">
        <v>141</v>
      </c>
      <c r="C5" s="28" t="n">
        <v>500000</v>
      </c>
    </row>
    <row r="7" customFormat="false" ht="28.35" hidden="false" customHeight="false" outlineLevel="0" collapsed="false">
      <c r="A7" s="10" t="s">
        <v>128</v>
      </c>
      <c r="B7" s="10" t="s">
        <v>142</v>
      </c>
      <c r="C7" s="10" t="s">
        <v>143</v>
      </c>
      <c r="D7" s="10" t="s">
        <v>144</v>
      </c>
      <c r="E7" s="10" t="s">
        <v>145</v>
      </c>
      <c r="F7" s="10" t="s">
        <v>146</v>
      </c>
      <c r="G7" s="10" t="s">
        <v>147</v>
      </c>
      <c r="H7" s="10" t="s">
        <v>148</v>
      </c>
      <c r="I7" s="10" t="s">
        <v>149</v>
      </c>
      <c r="J7" s="10" t="s">
        <v>150</v>
      </c>
      <c r="K7" s="10" t="s">
        <v>151</v>
      </c>
      <c r="L7" s="10" t="s">
        <v>152</v>
      </c>
      <c r="M7" s="10" t="s">
        <v>153</v>
      </c>
    </row>
    <row r="8" customFormat="false" ht="42" hidden="false" customHeight="true" outlineLevel="0" collapsed="false">
      <c r="A8" s="17" t="s">
        <v>46</v>
      </c>
      <c r="B8" s="17" t="s">
        <v>46</v>
      </c>
      <c r="C8" s="29" t="s">
        <v>154</v>
      </c>
      <c r="D8" s="29" t="s">
        <v>155</v>
      </c>
      <c r="E8" s="28" t="n">
        <v>50000</v>
      </c>
      <c r="F8" s="15" t="s">
        <v>156</v>
      </c>
      <c r="G8" s="14" t="s">
        <v>80</v>
      </c>
      <c r="H8" s="14" t="s">
        <v>157</v>
      </c>
      <c r="I8" s="9" t="n">
        <v>0.55</v>
      </c>
      <c r="J8" s="25" t="n">
        <f aca="false">$C$5*I8</f>
        <v>275000</v>
      </c>
      <c r="K8" s="30" t="n">
        <v>15</v>
      </c>
      <c r="L8" s="18" t="n">
        <f aca="false">COUNTIF(ウォッチリスト!$P$13:$P$112,"I(コア)")</f>
        <v>2</v>
      </c>
      <c r="M8" s="18" t="n">
        <f aca="false">COUNTIF(在庫管理!$V$11:$V$110,"I(コア)")</f>
        <v>1</v>
      </c>
    </row>
    <row r="9" customFormat="false" ht="42" hidden="false" customHeight="true" outlineLevel="0" collapsed="false">
      <c r="A9" s="17" t="s">
        <v>51</v>
      </c>
      <c r="B9" s="17" t="s">
        <v>51</v>
      </c>
      <c r="C9" s="29" t="s">
        <v>158</v>
      </c>
      <c r="D9" s="29" t="s">
        <v>159</v>
      </c>
      <c r="E9" s="28" t="n">
        <v>15000</v>
      </c>
      <c r="F9" s="15" t="s">
        <v>160</v>
      </c>
      <c r="G9" s="14" t="s">
        <v>161</v>
      </c>
      <c r="H9" s="14" t="s">
        <v>162</v>
      </c>
      <c r="I9" s="9" t="n">
        <v>0.2</v>
      </c>
      <c r="J9" s="25" t="n">
        <f aca="false">$C$5*I9</f>
        <v>100000</v>
      </c>
      <c r="K9" s="30" t="n">
        <v>40</v>
      </c>
      <c r="L9" s="18" t="n">
        <f aca="false">COUNTIF(ウォッチリスト!$P$13:$P$112,"II(回転)")</f>
        <v>1</v>
      </c>
      <c r="M9" s="18" t="n">
        <f aca="false">COUNTIF(在庫管理!$V$11:$V$110,"II(回転)")</f>
        <v>1</v>
      </c>
    </row>
    <row r="10" customFormat="false" ht="42" hidden="false" customHeight="true" outlineLevel="0" collapsed="false">
      <c r="A10" s="17" t="s">
        <v>55</v>
      </c>
      <c r="B10" s="17" t="s">
        <v>55</v>
      </c>
      <c r="C10" s="29" t="s">
        <v>163</v>
      </c>
      <c r="D10" s="29" t="s">
        <v>155</v>
      </c>
      <c r="E10" s="28" t="n">
        <v>80000</v>
      </c>
      <c r="F10" s="15" t="s">
        <v>73</v>
      </c>
      <c r="G10" s="14" t="s">
        <v>161</v>
      </c>
      <c r="H10" s="14" t="s">
        <v>88</v>
      </c>
      <c r="I10" s="9" t="n">
        <v>0.2</v>
      </c>
      <c r="J10" s="25" t="n">
        <f aca="false">$C$5*I10</f>
        <v>100000</v>
      </c>
      <c r="K10" s="30" t="n">
        <v>5</v>
      </c>
      <c r="L10" s="18" t="n">
        <f aca="false">COUNTIF(ウォッチリスト!$P$13:$P$112,"III(厳選)")</f>
        <v>2</v>
      </c>
      <c r="M10" s="18" t="n">
        <f aca="false">COUNTIF(在庫管理!$V$11:$V$110,"III(厳選)")</f>
        <v>1</v>
      </c>
    </row>
    <row r="11" customFormat="false" ht="42" hidden="false" customHeight="true" outlineLevel="0" collapsed="false">
      <c r="A11" s="17" t="s">
        <v>59</v>
      </c>
      <c r="B11" s="17" t="s">
        <v>59</v>
      </c>
      <c r="C11" s="29" t="s">
        <v>164</v>
      </c>
      <c r="D11" s="31" t="s">
        <v>165</v>
      </c>
      <c r="E11" s="28" t="n">
        <v>0</v>
      </c>
      <c r="F11" s="15" t="s">
        <v>165</v>
      </c>
      <c r="G11" s="14" t="s">
        <v>82</v>
      </c>
      <c r="H11" s="14" t="s">
        <v>86</v>
      </c>
      <c r="I11" s="9" t="n">
        <v>0.05</v>
      </c>
      <c r="J11" s="25" t="n">
        <f aca="false">$C$5*I11</f>
        <v>25000</v>
      </c>
      <c r="K11" s="30" t="n">
        <v>0</v>
      </c>
      <c r="L11" s="18" t="n">
        <f aca="false">COUNTIF(ウォッチリスト!$P$13:$P$112,"IV(見送り)")</f>
        <v>1</v>
      </c>
      <c r="M11" s="18" t="n">
        <f aca="false">COUNTIF(在庫管理!$V$11:$V$110,"IV(見送り)")</f>
        <v>2</v>
      </c>
    </row>
    <row r="12" customFormat="false" ht="15" hidden="false" customHeight="false" outlineLevel="0" collapsed="false">
      <c r="B12" s="32" t="s">
        <v>166</v>
      </c>
      <c r="I12" s="33" t="n">
        <f aca="false">SUM(I8:I11)</f>
        <v>1</v>
      </c>
      <c r="J12" s="34" t="n">
        <f aca="false">SUM(J8:J11)</f>
        <v>500000</v>
      </c>
    </row>
    <row r="14" customFormat="false" ht="15" hidden="false" customHeight="false" outlineLevel="0" collapsed="false">
      <c r="B14" s="2" t="s">
        <v>167</v>
      </c>
    </row>
    <row r="15" customFormat="false" ht="15" hidden="false" customHeight="false" outlineLevel="0" collapsed="false">
      <c r="B15" s="2" t="s">
        <v>168</v>
      </c>
    </row>
    <row r="16" customFormat="false" ht="15" hidden="false" customHeight="false" outlineLevel="0" collapsed="false">
      <c r="B16" s="2" t="s">
        <v>169</v>
      </c>
    </row>
  </sheetData>
  <conditionalFormatting sqref="I12">
    <cfRule type="cellIs" priority="2" operator="notEqual" aboveAverage="0" equalAverage="0" bottom="0" percent="0" rank="0" text="" dxfId="0">
      <formula>1</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2:X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6" min="6" style="0" width="16"/>
    <col collapsed="false" customWidth="true" hidden="false" outlineLevel="0" max="8" min="7" style="0" width="8"/>
    <col collapsed="false" customWidth="true" hidden="false" outlineLevel="0" max="10" min="9" style="0" width="9"/>
    <col collapsed="false" customWidth="true" hidden="false" outlineLevel="0" max="11" min="11" style="0" width="12"/>
    <col collapsed="false" customWidth="true" hidden="false" outlineLevel="0" max="12" min="12" style="0" width="10"/>
    <col collapsed="false" customWidth="true" hidden="false" outlineLevel="0" max="13" min="13" style="0" width="12"/>
    <col collapsed="false" customWidth="true" hidden="false" outlineLevel="0" max="14" min="14" style="0" width="11"/>
    <col collapsed="false" customWidth="true" hidden="false" outlineLevel="0" max="15" min="15" style="0" width="12"/>
    <col collapsed="false" customWidth="true" hidden="false" outlineLevel="0" max="16" min="16" style="0" width="11"/>
    <col collapsed="false" customWidth="true" hidden="false" outlineLevel="0" max="17" min="17" style="0" width="14"/>
    <col collapsed="false" customWidth="true" hidden="false" outlineLevel="0" max="20" min="18" style="0" width="11"/>
    <col collapsed="false" customWidth="true" hidden="false" outlineLevel="0" max="21" min="21" style="0" width="14"/>
    <col collapsed="false" customWidth="true" hidden="false" outlineLevel="0" max="22" min="22" style="0" width="11"/>
    <col collapsed="false" customWidth="true" hidden="false" outlineLevel="0" max="23" min="23" style="0" width="12"/>
    <col collapsed="false" customWidth="true" hidden="false" outlineLevel="0" max="24" min="24" style="0" width="22"/>
  </cols>
  <sheetData>
    <row r="2" customFormat="false" ht="19.7" hidden="false" customHeight="false" outlineLevel="0" collapsed="false">
      <c r="B2" s="1" t="s">
        <v>170</v>
      </c>
    </row>
    <row r="3" customFormat="false" ht="15" hidden="false" customHeight="false" outlineLevel="0" collapsed="false">
      <c r="B3" s="2" t="s">
        <v>171</v>
      </c>
    </row>
    <row r="5" customFormat="false" ht="15" hidden="false" customHeight="false" outlineLevel="0" collapsed="false">
      <c r="B5" s="7" t="s">
        <v>172</v>
      </c>
      <c r="C5" s="25" t="n">
        <f aca="false">SUMIFS(N11:N110,L11:L110,"在庫中")</f>
        <v>78000</v>
      </c>
    </row>
    <row r="6" customFormat="false" ht="15" hidden="false" customHeight="false" outlineLevel="0" collapsed="false">
      <c r="B6" s="7" t="s">
        <v>173</v>
      </c>
      <c r="C6" s="25" t="n">
        <f aca="false">SUMIFS(O11:O110,L11:L110,"在庫中")</f>
        <v>98500</v>
      </c>
    </row>
    <row r="7" customFormat="false" ht="15" hidden="false" customHeight="false" outlineLevel="0" collapsed="false">
      <c r="B7" s="7" t="s">
        <v>174</v>
      </c>
      <c r="C7" s="25" t="n">
        <f aca="false">C6-C5</f>
        <v>20500</v>
      </c>
    </row>
    <row r="8" customFormat="false" ht="15" hidden="false" customHeight="false" outlineLevel="0" collapsed="false">
      <c r="B8" s="7" t="s">
        <v>175</v>
      </c>
      <c r="C8" s="26" t="n">
        <f aca="false">IFERROR(C7/C5,"")</f>
        <v>0.262820512820513</v>
      </c>
    </row>
    <row r="9" customFormat="false" ht="15" hidden="false" customHeight="false" outlineLevel="0" collapsed="false">
      <c r="B9" s="7" t="s">
        <v>176</v>
      </c>
      <c r="C9" s="18" t="n">
        <f aca="false">COUNTIF(L11:L110,"在庫中")</f>
        <v>3</v>
      </c>
    </row>
    <row r="10" customFormat="false" ht="41.75" hidden="false" customHeight="false" outlineLevel="0" collapsed="false">
      <c r="A10" s="19" t="s">
        <v>117</v>
      </c>
      <c r="B10" s="10" t="s">
        <v>177</v>
      </c>
      <c r="C10" s="10" t="s">
        <v>64</v>
      </c>
      <c r="D10" s="10" t="s">
        <v>178</v>
      </c>
      <c r="E10" s="10" t="s">
        <v>179</v>
      </c>
      <c r="F10" s="10" t="s">
        <v>180</v>
      </c>
      <c r="G10" s="10" t="s">
        <v>181</v>
      </c>
      <c r="H10" s="10" t="s">
        <v>182</v>
      </c>
      <c r="I10" s="10" t="s">
        <v>72</v>
      </c>
      <c r="J10" s="10" t="s">
        <v>79</v>
      </c>
      <c r="K10" s="10" t="s">
        <v>84</v>
      </c>
      <c r="L10" s="10" t="s">
        <v>91</v>
      </c>
      <c r="M10" s="10" t="s">
        <v>183</v>
      </c>
      <c r="N10" s="10" t="s">
        <v>184</v>
      </c>
      <c r="O10" s="10" t="s">
        <v>185</v>
      </c>
      <c r="P10" s="10" t="s">
        <v>122</v>
      </c>
      <c r="Q10" s="10" t="s">
        <v>123</v>
      </c>
      <c r="R10" s="10" t="s">
        <v>124</v>
      </c>
      <c r="S10" s="10" t="s">
        <v>125</v>
      </c>
      <c r="T10" s="10" t="s">
        <v>126</v>
      </c>
      <c r="U10" s="10" t="s">
        <v>127</v>
      </c>
      <c r="V10" s="10" t="s">
        <v>128</v>
      </c>
      <c r="W10" s="10" t="s">
        <v>186</v>
      </c>
      <c r="X10" s="10" t="s">
        <v>130</v>
      </c>
    </row>
    <row r="11" customFormat="false" ht="15" hidden="false" customHeight="false" outlineLevel="0" collapsed="false">
      <c r="A11" s="18" t="n">
        <f aca="false">IF(B11="","",ROW()-10)</f>
        <v>1</v>
      </c>
      <c r="B11" s="20" t="s">
        <v>131</v>
      </c>
      <c r="C11" s="20" t="s">
        <v>65</v>
      </c>
      <c r="D11" s="20" t="s">
        <v>97</v>
      </c>
      <c r="E11" s="20" t="s">
        <v>102</v>
      </c>
      <c r="F11" s="20" t="s">
        <v>106</v>
      </c>
      <c r="G11" s="21" t="s">
        <v>187</v>
      </c>
      <c r="H11" s="21" t="s">
        <v>187</v>
      </c>
      <c r="I11" s="21" t="s">
        <v>73</v>
      </c>
      <c r="J11" s="20" t="s">
        <v>80</v>
      </c>
      <c r="K11" s="20" t="s">
        <v>88</v>
      </c>
      <c r="L11" s="20" t="s">
        <v>92</v>
      </c>
      <c r="M11" s="35" t="s">
        <v>188</v>
      </c>
      <c r="N11" s="22" t="n">
        <v>24000</v>
      </c>
      <c r="O11" s="22" t="n">
        <v>31000</v>
      </c>
      <c r="P11" s="23" t="n">
        <v>18</v>
      </c>
      <c r="Q11" s="24" t="n">
        <f aca="false">IF(B11="","",P11*IFERROR(INDEX(設定!$C$43:$C$45,MATCH(K11,設定!$B$43:$B$45,0)),1))</f>
        <v>18</v>
      </c>
      <c r="R11" s="25" t="n">
        <f aca="false">IF(B11="","",O11-N11)</f>
        <v>7000</v>
      </c>
      <c r="S11" s="26" t="n">
        <f aca="false">IF(B11="","",IF(N11=0,"",R11/N11))</f>
        <v>0.291666666666667</v>
      </c>
      <c r="T11" s="26" t="n">
        <f aca="false">IF(B11="","",IF(P11=0,"",S11*365/P11))</f>
        <v>5.91435185185185</v>
      </c>
      <c r="U11" s="27" t="n">
        <f aca="false">IF(B11="","",IFERROR(S11/INDEX(設定!$C$43:$C$45,MATCH(K11,設定!$B$43:$B$45,0)),""))</f>
        <v>0.291666666666667</v>
      </c>
      <c r="V11" s="7" t="str">
        <f aca="false">IF(B11="","",IF(P11&lt;=設定!$C$6,IF(S11&gt;=設定!$C$7,"I(コア)","II(回転)"),IF(S11&gt;=設定!$C$7,"III(厳選)","IV(見送り)")))</f>
        <v>I(コア)</v>
      </c>
      <c r="W11" s="26" t="n">
        <f aca="false">IF(B11="","",IF(L11="在庫中",IF($C$6=0,"",O11/$C$6),""))</f>
        <v>0.314720812182741</v>
      </c>
      <c r="X11" s="20"/>
    </row>
    <row r="12" customFormat="false" ht="15" hidden="false" customHeight="false" outlineLevel="0" collapsed="false">
      <c r="A12" s="18" t="n">
        <f aca="false">IF(B12="","",ROW()-10)</f>
        <v>2</v>
      </c>
      <c r="B12" s="20" t="s">
        <v>132</v>
      </c>
      <c r="C12" s="20" t="s">
        <v>66</v>
      </c>
      <c r="D12" s="20" t="s">
        <v>98</v>
      </c>
      <c r="E12" s="20"/>
      <c r="F12" s="21" t="s">
        <v>107</v>
      </c>
      <c r="G12" s="21" t="s">
        <v>187</v>
      </c>
      <c r="H12" s="21" t="s">
        <v>187</v>
      </c>
      <c r="I12" s="21" t="s">
        <v>74</v>
      </c>
      <c r="J12" s="20" t="s">
        <v>80</v>
      </c>
      <c r="K12" s="20" t="s">
        <v>87</v>
      </c>
      <c r="L12" s="20" t="s">
        <v>92</v>
      </c>
      <c r="M12" s="35" t="s">
        <v>189</v>
      </c>
      <c r="N12" s="22" t="n">
        <v>16000</v>
      </c>
      <c r="O12" s="22" t="n">
        <v>18500</v>
      </c>
      <c r="P12" s="23" t="n">
        <v>12</v>
      </c>
      <c r="Q12" s="24" t="n">
        <f aca="false">IF(B12="","",P12*IFERROR(INDEX(設定!$C$43:$C$45,MATCH(K12,設定!$B$43:$B$45,0)),1))</f>
        <v>14.4</v>
      </c>
      <c r="R12" s="25" t="n">
        <f aca="false">IF(B12="","",O12-N12)</f>
        <v>2500</v>
      </c>
      <c r="S12" s="26" t="n">
        <f aca="false">IF(B12="","",IF(N12=0,"",R12/N12))</f>
        <v>0.15625</v>
      </c>
      <c r="T12" s="26" t="n">
        <f aca="false">IF(B12="","",IF(P12=0,"",S12*365/P12))</f>
        <v>4.75260416666667</v>
      </c>
      <c r="U12" s="27" t="n">
        <f aca="false">IF(B12="","",IFERROR(S12/INDEX(設定!$C$43:$C$45,MATCH(K12,設定!$B$43:$B$45,0)),""))</f>
        <v>0.130208333333333</v>
      </c>
      <c r="V12" s="7" t="str">
        <f aca="false">IF(B12="","",IF(P12&lt;=設定!$C$6,IF(S12&gt;=設定!$C$7,"I(コア)","II(回転)"),IF(S12&gt;=設定!$C$7,"III(厳選)","IV(見送り)")))</f>
        <v>II(回転)</v>
      </c>
      <c r="W12" s="26" t="n">
        <f aca="false">IF(B12="","",IF(L12="在庫中",IF($C$6=0,"",O12/$C$6),""))</f>
        <v>0.187817258883249</v>
      </c>
      <c r="X12" s="21"/>
    </row>
    <row r="13" customFormat="false" ht="15" hidden="false" customHeight="false" outlineLevel="0" collapsed="false">
      <c r="A13" s="18" t="n">
        <f aca="false">IF(B13="","",ROW()-10)</f>
        <v>3</v>
      </c>
      <c r="B13" s="20" t="s">
        <v>133</v>
      </c>
      <c r="C13" s="20" t="s">
        <v>67</v>
      </c>
      <c r="D13" s="20" t="s">
        <v>99</v>
      </c>
      <c r="E13" s="21"/>
      <c r="F13" s="20" t="s">
        <v>190</v>
      </c>
      <c r="G13" s="21" t="s">
        <v>191</v>
      </c>
      <c r="H13" s="21" t="s">
        <v>187</v>
      </c>
      <c r="I13" s="21" t="s">
        <v>73</v>
      </c>
      <c r="J13" s="20" t="s">
        <v>81</v>
      </c>
      <c r="K13" s="20" t="s">
        <v>88</v>
      </c>
      <c r="L13" s="20" t="s">
        <v>92</v>
      </c>
      <c r="M13" s="35" t="s">
        <v>192</v>
      </c>
      <c r="N13" s="22" t="n">
        <v>38000</v>
      </c>
      <c r="O13" s="22" t="n">
        <v>49000</v>
      </c>
      <c r="P13" s="23" t="n">
        <v>55</v>
      </c>
      <c r="Q13" s="24" t="n">
        <f aca="false">IF(B13="","",P13*IFERROR(INDEX(設定!$C$43:$C$45,MATCH(K13,設定!$B$43:$B$45,0)),1))</f>
        <v>55</v>
      </c>
      <c r="R13" s="25" t="n">
        <f aca="false">IF(B13="","",O13-N13)</f>
        <v>11000</v>
      </c>
      <c r="S13" s="26" t="n">
        <f aca="false">IF(B13="","",IF(N13=0,"",R13/N13))</f>
        <v>0.289473684210526</v>
      </c>
      <c r="T13" s="26" t="n">
        <f aca="false">IF(B13="","",IF(P13=0,"",S13*365/P13))</f>
        <v>1.92105263157895</v>
      </c>
      <c r="U13" s="27" t="n">
        <f aca="false">IF(B13="","",IFERROR(S13/INDEX(設定!$C$43:$C$45,MATCH(K13,設定!$B$43:$B$45,0)),""))</f>
        <v>0.289473684210526</v>
      </c>
      <c r="V13" s="7" t="str">
        <f aca="false">IF(B13="","",IF(P13&lt;=設定!$C$6,IF(S13&gt;=設定!$C$7,"I(コア)","II(回転)"),IF(S13&gt;=設定!$C$7,"III(厳選)","IV(見送り)")))</f>
        <v>III(厳選)</v>
      </c>
      <c r="W13" s="26" t="n">
        <f aca="false">IF(B13="","",IF(L13="在庫中",IF($C$6=0,"",O13/$C$6),""))</f>
        <v>0.49746192893401</v>
      </c>
      <c r="X13" s="20" t="s">
        <v>134</v>
      </c>
    </row>
    <row r="14" customFormat="false" ht="15" hidden="false" customHeight="false" outlineLevel="0" collapsed="false">
      <c r="A14" s="18" t="n">
        <f aca="false">IF(B14="","",ROW()-10)</f>
        <v>4</v>
      </c>
      <c r="B14" s="20" t="s">
        <v>135</v>
      </c>
      <c r="C14" s="20" t="s">
        <v>65</v>
      </c>
      <c r="D14" s="20" t="s">
        <v>193</v>
      </c>
      <c r="E14" s="20" t="s">
        <v>103</v>
      </c>
      <c r="F14" s="21" t="s">
        <v>108</v>
      </c>
      <c r="G14" s="21" t="s">
        <v>187</v>
      </c>
      <c r="H14" s="21" t="s">
        <v>191</v>
      </c>
      <c r="I14" s="21" t="s">
        <v>75</v>
      </c>
      <c r="J14" s="20" t="s">
        <v>81</v>
      </c>
      <c r="K14" s="20" t="s">
        <v>87</v>
      </c>
      <c r="L14" s="20" t="s">
        <v>93</v>
      </c>
      <c r="M14" s="35" t="s">
        <v>194</v>
      </c>
      <c r="N14" s="22" t="n">
        <v>7000</v>
      </c>
      <c r="O14" s="22" t="n">
        <v>8300</v>
      </c>
      <c r="P14" s="23" t="n">
        <v>40</v>
      </c>
      <c r="Q14" s="24" t="n">
        <f aca="false">IF(B14="","",P14*IFERROR(INDEX(設定!$C$43:$C$45,MATCH(K14,設定!$B$43:$B$45,0)),1))</f>
        <v>48</v>
      </c>
      <c r="R14" s="25" t="n">
        <f aca="false">IF(B14="","",O14-N14)</f>
        <v>1300</v>
      </c>
      <c r="S14" s="26" t="n">
        <f aca="false">IF(B14="","",IF(N14=0,"",R14/N14))</f>
        <v>0.185714285714286</v>
      </c>
      <c r="T14" s="26" t="n">
        <f aca="false">IF(B14="","",IF(P14=0,"",S14*365/P14))</f>
        <v>1.69464285714286</v>
      </c>
      <c r="U14" s="27" t="n">
        <f aca="false">IF(B14="","",IFERROR(S14/INDEX(設定!$C$43:$C$45,MATCH(K14,設定!$B$43:$B$45,0)),""))</f>
        <v>0.154761904761905</v>
      </c>
      <c r="V14" s="7" t="str">
        <f aca="false">IF(B14="","",IF(P14&lt;=設定!$C$6,IF(S14&gt;=設定!$C$7,"I(コア)","II(回転)"),IF(S14&gt;=設定!$C$7,"III(厳選)","IV(見送り)")))</f>
        <v>IV(見送り)</v>
      </c>
      <c r="W14" s="26" t="str">
        <f aca="false">IF(B14="","",IF(L14="在庫中",IF($C$6=0,"",O14/$C$6),""))</f>
        <v/>
      </c>
      <c r="X14" s="20" t="s">
        <v>136</v>
      </c>
    </row>
    <row r="15" customFormat="false" ht="15" hidden="false" customHeight="false" outlineLevel="0" collapsed="false">
      <c r="A15" s="18" t="n">
        <f aca="false">IF(B15="","",ROW()-10)</f>
        <v>5</v>
      </c>
      <c r="B15" s="20" t="s">
        <v>138</v>
      </c>
      <c r="C15" s="20" t="s">
        <v>67</v>
      </c>
      <c r="D15" s="21"/>
      <c r="E15" s="21"/>
      <c r="F15" s="21"/>
      <c r="G15" s="21" t="s">
        <v>187</v>
      </c>
      <c r="H15" s="21" t="s">
        <v>187</v>
      </c>
      <c r="I15" s="21" t="s">
        <v>77</v>
      </c>
      <c r="J15" s="20" t="s">
        <v>82</v>
      </c>
      <c r="K15" s="20" t="s">
        <v>86</v>
      </c>
      <c r="L15" s="20" t="s">
        <v>94</v>
      </c>
      <c r="M15" s="35" t="s">
        <v>195</v>
      </c>
      <c r="N15" s="22" t="n">
        <v>2800</v>
      </c>
      <c r="O15" s="22" t="n">
        <v>2900</v>
      </c>
      <c r="P15" s="23" t="n">
        <v>90</v>
      </c>
      <c r="Q15" s="24" t="n">
        <f aca="false">IF(B15="","",P15*IFERROR(INDEX(設定!$C$43:$C$45,MATCH(K15,設定!$B$43:$B$45,0)),1))</f>
        <v>135</v>
      </c>
      <c r="R15" s="25" t="n">
        <f aca="false">IF(B15="","",O15-N15)</f>
        <v>100</v>
      </c>
      <c r="S15" s="26" t="n">
        <f aca="false">IF(B15="","",IF(N15=0,"",R15/N15))</f>
        <v>0.0357142857142857</v>
      </c>
      <c r="T15" s="26" t="n">
        <f aca="false">IF(B15="","",IF(P15=0,"",S15*365/P15))</f>
        <v>0.14484126984127</v>
      </c>
      <c r="U15" s="27" t="n">
        <f aca="false">IF(B15="","",IFERROR(S15/INDEX(設定!$C$43:$C$45,MATCH(K15,設定!$B$43:$B$45,0)),""))</f>
        <v>0.0238095238095238</v>
      </c>
      <c r="V15" s="7" t="str">
        <f aca="false">IF(B15="","",IF(P15&lt;=設定!$C$6,IF(S15&gt;=設定!$C$7,"I(コア)","II(回転)"),IF(S15&gt;=設定!$C$7,"III(厳選)","IV(見送り)")))</f>
        <v>IV(見送り)</v>
      </c>
      <c r="W15" s="26" t="str">
        <f aca="false">IF(B15="","",IF(L15="在庫中",IF($C$6=0,"",O15/$C$6),""))</f>
        <v/>
      </c>
      <c r="X15" s="21"/>
    </row>
    <row r="16" customFormat="false" ht="15" hidden="false" customHeight="false" outlineLevel="0" collapsed="false">
      <c r="A16" s="18" t="str">
        <f aca="false">IF(B16="","",ROW()-10)</f>
        <v/>
      </c>
      <c r="B16" s="21"/>
      <c r="C16" s="20"/>
      <c r="D16" s="21"/>
      <c r="E16" s="21"/>
      <c r="F16" s="21"/>
      <c r="G16" s="21"/>
      <c r="H16" s="21"/>
      <c r="I16" s="21"/>
      <c r="J16" s="20"/>
      <c r="K16" s="20"/>
      <c r="L16" s="20"/>
      <c r="M16" s="35"/>
      <c r="N16" s="22"/>
      <c r="O16" s="22"/>
      <c r="P16" s="23"/>
      <c r="Q16" s="24" t="str">
        <f aca="false">IF(B16="","",P16*IFERROR(INDEX(設定!$C$43:$C$45,MATCH(K16,設定!$B$43:$B$45,0)),1))</f>
        <v/>
      </c>
      <c r="R16" s="25" t="str">
        <f aca="false">IF(B16="","",O16-N16)</f>
        <v/>
      </c>
      <c r="S16" s="26" t="str">
        <f aca="false">IF(B16="","",IF(N16=0,"",R16/N16))</f>
        <v/>
      </c>
      <c r="T16" s="26" t="str">
        <f aca="false">IF(B16="","",IF(P16=0,"",S16*365/P16))</f>
        <v/>
      </c>
      <c r="U16" s="27" t="str">
        <f aca="false">IF(B16="","",IFERROR(S16/INDEX(設定!$C$43:$C$45,MATCH(K16,設定!$B$43:$B$45,0)),""))</f>
        <v/>
      </c>
      <c r="V16" s="7" t="str">
        <f aca="false">IF(B16="","",IF(P16&lt;=設定!$C$6,IF(S16&gt;=設定!$C$7,"I(コア)","II(回転)"),IF(S16&gt;=設定!$C$7,"III(厳選)","IV(見送り)")))</f>
        <v/>
      </c>
      <c r="W16" s="26" t="str">
        <f aca="false">IF(B16="","",IF(L16="在庫中",IF($C$6=0,"",O16/$C$6),""))</f>
        <v/>
      </c>
      <c r="X16" s="21"/>
    </row>
    <row r="17" customFormat="false" ht="15" hidden="false" customHeight="false" outlineLevel="0" collapsed="false">
      <c r="A17" s="18" t="str">
        <f aca="false">IF(B17="","",ROW()-10)</f>
        <v/>
      </c>
      <c r="B17" s="21"/>
      <c r="C17" s="20"/>
      <c r="D17" s="21"/>
      <c r="E17" s="21"/>
      <c r="F17" s="21"/>
      <c r="G17" s="21"/>
      <c r="H17" s="21"/>
      <c r="I17" s="21"/>
      <c r="J17" s="20"/>
      <c r="K17" s="20"/>
      <c r="L17" s="20"/>
      <c r="M17" s="35"/>
      <c r="N17" s="22"/>
      <c r="O17" s="22"/>
      <c r="P17" s="23"/>
      <c r="Q17" s="24" t="str">
        <f aca="false">IF(B17="","",P17*IFERROR(INDEX(設定!$C$43:$C$45,MATCH(K17,設定!$B$43:$B$45,0)),1))</f>
        <v/>
      </c>
      <c r="R17" s="25" t="str">
        <f aca="false">IF(B17="","",O17-N17)</f>
        <v/>
      </c>
      <c r="S17" s="26" t="str">
        <f aca="false">IF(B17="","",IF(N17=0,"",R17/N17))</f>
        <v/>
      </c>
      <c r="T17" s="26" t="str">
        <f aca="false">IF(B17="","",IF(P17=0,"",S17*365/P17))</f>
        <v/>
      </c>
      <c r="U17" s="27" t="str">
        <f aca="false">IF(B17="","",IFERROR(S17/INDEX(設定!$C$43:$C$45,MATCH(K17,設定!$B$43:$B$45,0)),""))</f>
        <v/>
      </c>
      <c r="V17" s="7" t="str">
        <f aca="false">IF(B17="","",IF(P17&lt;=設定!$C$6,IF(S17&gt;=設定!$C$7,"I(コア)","II(回転)"),IF(S17&gt;=設定!$C$7,"III(厳選)","IV(見送り)")))</f>
        <v/>
      </c>
      <c r="W17" s="26" t="str">
        <f aca="false">IF(B17="","",IF(L17="在庫中",IF($C$6=0,"",O17/$C$6),""))</f>
        <v/>
      </c>
      <c r="X17" s="21"/>
    </row>
    <row r="18" customFormat="false" ht="15" hidden="false" customHeight="false" outlineLevel="0" collapsed="false">
      <c r="A18" s="18" t="str">
        <f aca="false">IF(B18="","",ROW()-10)</f>
        <v/>
      </c>
      <c r="B18" s="21"/>
      <c r="C18" s="20"/>
      <c r="D18" s="21"/>
      <c r="E18" s="21"/>
      <c r="F18" s="21"/>
      <c r="G18" s="21"/>
      <c r="H18" s="21"/>
      <c r="I18" s="21"/>
      <c r="J18" s="20"/>
      <c r="K18" s="20"/>
      <c r="L18" s="20"/>
      <c r="M18" s="35"/>
      <c r="N18" s="22"/>
      <c r="O18" s="22"/>
      <c r="P18" s="23"/>
      <c r="Q18" s="24" t="str">
        <f aca="false">IF(B18="","",P18*IFERROR(INDEX(設定!$C$43:$C$45,MATCH(K18,設定!$B$43:$B$45,0)),1))</f>
        <v/>
      </c>
      <c r="R18" s="25" t="str">
        <f aca="false">IF(B18="","",O18-N18)</f>
        <v/>
      </c>
      <c r="S18" s="26" t="str">
        <f aca="false">IF(B18="","",IF(N18=0,"",R18/N18))</f>
        <v/>
      </c>
      <c r="T18" s="26" t="str">
        <f aca="false">IF(B18="","",IF(P18=0,"",S18*365/P18))</f>
        <v/>
      </c>
      <c r="U18" s="27" t="str">
        <f aca="false">IF(B18="","",IFERROR(S18/INDEX(設定!$C$43:$C$45,MATCH(K18,設定!$B$43:$B$45,0)),""))</f>
        <v/>
      </c>
      <c r="V18" s="7" t="str">
        <f aca="false">IF(B18="","",IF(P18&lt;=設定!$C$6,IF(S18&gt;=設定!$C$7,"I(コア)","II(回転)"),IF(S18&gt;=設定!$C$7,"III(厳選)","IV(見送り)")))</f>
        <v/>
      </c>
      <c r="W18" s="26" t="str">
        <f aca="false">IF(B18="","",IF(L18="在庫中",IF($C$6=0,"",O18/$C$6),""))</f>
        <v/>
      </c>
      <c r="X18" s="21"/>
    </row>
    <row r="19" customFormat="false" ht="15" hidden="false" customHeight="false" outlineLevel="0" collapsed="false">
      <c r="A19" s="18" t="str">
        <f aca="false">IF(B19="","",ROW()-10)</f>
        <v/>
      </c>
      <c r="B19" s="21"/>
      <c r="C19" s="20"/>
      <c r="D19" s="21"/>
      <c r="E19" s="21"/>
      <c r="F19" s="21"/>
      <c r="G19" s="21"/>
      <c r="H19" s="21"/>
      <c r="I19" s="21"/>
      <c r="J19" s="20"/>
      <c r="K19" s="20"/>
      <c r="L19" s="20"/>
      <c r="M19" s="35"/>
      <c r="N19" s="22"/>
      <c r="O19" s="22"/>
      <c r="P19" s="23"/>
      <c r="Q19" s="24" t="str">
        <f aca="false">IF(B19="","",P19*IFERROR(INDEX(設定!$C$43:$C$45,MATCH(K19,設定!$B$43:$B$45,0)),1))</f>
        <v/>
      </c>
      <c r="R19" s="25" t="str">
        <f aca="false">IF(B19="","",O19-N19)</f>
        <v/>
      </c>
      <c r="S19" s="26" t="str">
        <f aca="false">IF(B19="","",IF(N19=0,"",R19/N19))</f>
        <v/>
      </c>
      <c r="T19" s="26" t="str">
        <f aca="false">IF(B19="","",IF(P19=0,"",S19*365/P19))</f>
        <v/>
      </c>
      <c r="U19" s="27" t="str">
        <f aca="false">IF(B19="","",IFERROR(S19/INDEX(設定!$C$43:$C$45,MATCH(K19,設定!$B$43:$B$45,0)),""))</f>
        <v/>
      </c>
      <c r="V19" s="7" t="str">
        <f aca="false">IF(B19="","",IF(P19&lt;=設定!$C$6,IF(S19&gt;=設定!$C$7,"I(コア)","II(回転)"),IF(S19&gt;=設定!$C$7,"III(厳選)","IV(見送り)")))</f>
        <v/>
      </c>
      <c r="W19" s="26" t="str">
        <f aca="false">IF(B19="","",IF(L19="在庫中",IF($C$6=0,"",O19/$C$6),""))</f>
        <v/>
      </c>
      <c r="X19" s="21"/>
    </row>
    <row r="20" customFormat="false" ht="15" hidden="false" customHeight="false" outlineLevel="0" collapsed="false">
      <c r="A20" s="18" t="str">
        <f aca="false">IF(B20="","",ROW()-10)</f>
        <v/>
      </c>
      <c r="B20" s="21"/>
      <c r="C20" s="20"/>
      <c r="D20" s="21"/>
      <c r="E20" s="21"/>
      <c r="F20" s="21"/>
      <c r="G20" s="21"/>
      <c r="H20" s="21"/>
      <c r="I20" s="21"/>
      <c r="J20" s="20"/>
      <c r="K20" s="20"/>
      <c r="L20" s="20"/>
      <c r="M20" s="35"/>
      <c r="N20" s="22"/>
      <c r="O20" s="22"/>
      <c r="P20" s="23"/>
      <c r="Q20" s="24" t="str">
        <f aca="false">IF(B20="","",P20*IFERROR(INDEX(設定!$C$43:$C$45,MATCH(K20,設定!$B$43:$B$45,0)),1))</f>
        <v/>
      </c>
      <c r="R20" s="25" t="str">
        <f aca="false">IF(B20="","",O20-N20)</f>
        <v/>
      </c>
      <c r="S20" s="26" t="str">
        <f aca="false">IF(B20="","",IF(N20=0,"",R20/N20))</f>
        <v/>
      </c>
      <c r="T20" s="26" t="str">
        <f aca="false">IF(B20="","",IF(P20=0,"",S20*365/P20))</f>
        <v/>
      </c>
      <c r="U20" s="27" t="str">
        <f aca="false">IF(B20="","",IFERROR(S20/INDEX(設定!$C$43:$C$45,MATCH(K20,設定!$B$43:$B$45,0)),""))</f>
        <v/>
      </c>
      <c r="V20" s="7" t="str">
        <f aca="false">IF(B20="","",IF(P20&lt;=設定!$C$6,IF(S20&gt;=設定!$C$7,"I(コア)","II(回転)"),IF(S20&gt;=設定!$C$7,"III(厳選)","IV(見送り)")))</f>
        <v/>
      </c>
      <c r="W20" s="26" t="str">
        <f aca="false">IF(B20="","",IF(L20="在庫中",IF($C$6=0,"",O20/$C$6),""))</f>
        <v/>
      </c>
      <c r="X20" s="21"/>
    </row>
    <row r="21" customFormat="false" ht="15" hidden="false" customHeight="false" outlineLevel="0" collapsed="false">
      <c r="A21" s="18" t="str">
        <f aca="false">IF(B21="","",ROW()-10)</f>
        <v/>
      </c>
      <c r="B21" s="21"/>
      <c r="C21" s="20"/>
      <c r="D21" s="21"/>
      <c r="E21" s="21"/>
      <c r="F21" s="21"/>
      <c r="G21" s="21"/>
      <c r="H21" s="21"/>
      <c r="I21" s="21"/>
      <c r="J21" s="20"/>
      <c r="K21" s="20"/>
      <c r="L21" s="20"/>
      <c r="M21" s="35"/>
      <c r="N21" s="22"/>
      <c r="O21" s="22"/>
      <c r="P21" s="23"/>
      <c r="Q21" s="24" t="str">
        <f aca="false">IF(B21="","",P21*IFERROR(INDEX(設定!$C$43:$C$45,MATCH(K21,設定!$B$43:$B$45,0)),1))</f>
        <v/>
      </c>
      <c r="R21" s="25" t="str">
        <f aca="false">IF(B21="","",O21-N21)</f>
        <v/>
      </c>
      <c r="S21" s="26" t="str">
        <f aca="false">IF(B21="","",IF(N21=0,"",R21/N21))</f>
        <v/>
      </c>
      <c r="T21" s="26" t="str">
        <f aca="false">IF(B21="","",IF(P21=0,"",S21*365/P21))</f>
        <v/>
      </c>
      <c r="U21" s="27" t="str">
        <f aca="false">IF(B21="","",IFERROR(S21/INDEX(設定!$C$43:$C$45,MATCH(K21,設定!$B$43:$B$45,0)),""))</f>
        <v/>
      </c>
      <c r="V21" s="7" t="str">
        <f aca="false">IF(B21="","",IF(P21&lt;=設定!$C$6,IF(S21&gt;=設定!$C$7,"I(コア)","II(回転)"),IF(S21&gt;=設定!$C$7,"III(厳選)","IV(見送り)")))</f>
        <v/>
      </c>
      <c r="W21" s="26" t="str">
        <f aca="false">IF(B21="","",IF(L21="在庫中",IF($C$6=0,"",O21/$C$6),""))</f>
        <v/>
      </c>
      <c r="X21" s="21"/>
    </row>
    <row r="22" customFormat="false" ht="15" hidden="false" customHeight="false" outlineLevel="0" collapsed="false">
      <c r="A22" s="18" t="str">
        <f aca="false">IF(B22="","",ROW()-10)</f>
        <v/>
      </c>
      <c r="B22" s="21"/>
      <c r="C22" s="20"/>
      <c r="D22" s="21"/>
      <c r="E22" s="21"/>
      <c r="F22" s="21"/>
      <c r="G22" s="21"/>
      <c r="H22" s="21"/>
      <c r="I22" s="21"/>
      <c r="J22" s="20"/>
      <c r="K22" s="20"/>
      <c r="L22" s="20"/>
      <c r="M22" s="35"/>
      <c r="N22" s="22"/>
      <c r="O22" s="22"/>
      <c r="P22" s="23"/>
      <c r="Q22" s="24" t="str">
        <f aca="false">IF(B22="","",P22*IFERROR(INDEX(設定!$C$43:$C$45,MATCH(K22,設定!$B$43:$B$45,0)),1))</f>
        <v/>
      </c>
      <c r="R22" s="25" t="str">
        <f aca="false">IF(B22="","",O22-N22)</f>
        <v/>
      </c>
      <c r="S22" s="26" t="str">
        <f aca="false">IF(B22="","",IF(N22=0,"",R22/N22))</f>
        <v/>
      </c>
      <c r="T22" s="26" t="str">
        <f aca="false">IF(B22="","",IF(P22=0,"",S22*365/P22))</f>
        <v/>
      </c>
      <c r="U22" s="27" t="str">
        <f aca="false">IF(B22="","",IFERROR(S22/INDEX(設定!$C$43:$C$45,MATCH(K22,設定!$B$43:$B$45,0)),""))</f>
        <v/>
      </c>
      <c r="V22" s="7" t="str">
        <f aca="false">IF(B22="","",IF(P22&lt;=設定!$C$6,IF(S22&gt;=設定!$C$7,"I(コア)","II(回転)"),IF(S22&gt;=設定!$C$7,"III(厳選)","IV(見送り)")))</f>
        <v/>
      </c>
      <c r="W22" s="26" t="str">
        <f aca="false">IF(B22="","",IF(L22="在庫中",IF($C$6=0,"",O22/$C$6),""))</f>
        <v/>
      </c>
      <c r="X22" s="21"/>
    </row>
    <row r="23" customFormat="false" ht="15" hidden="false" customHeight="false" outlineLevel="0" collapsed="false">
      <c r="A23" s="18" t="str">
        <f aca="false">IF(B23="","",ROW()-10)</f>
        <v/>
      </c>
      <c r="B23" s="21"/>
      <c r="C23" s="20"/>
      <c r="D23" s="21"/>
      <c r="E23" s="21"/>
      <c r="F23" s="21"/>
      <c r="G23" s="21"/>
      <c r="H23" s="21"/>
      <c r="I23" s="21"/>
      <c r="J23" s="20"/>
      <c r="K23" s="20"/>
      <c r="L23" s="20"/>
      <c r="M23" s="35"/>
      <c r="N23" s="22"/>
      <c r="O23" s="22"/>
      <c r="P23" s="23"/>
      <c r="Q23" s="24" t="str">
        <f aca="false">IF(B23="","",P23*IFERROR(INDEX(設定!$C$43:$C$45,MATCH(K23,設定!$B$43:$B$45,0)),1))</f>
        <v/>
      </c>
      <c r="R23" s="25" t="str">
        <f aca="false">IF(B23="","",O23-N23)</f>
        <v/>
      </c>
      <c r="S23" s="26" t="str">
        <f aca="false">IF(B23="","",IF(N23=0,"",R23/N23))</f>
        <v/>
      </c>
      <c r="T23" s="26" t="str">
        <f aca="false">IF(B23="","",IF(P23=0,"",S23*365/P23))</f>
        <v/>
      </c>
      <c r="U23" s="27" t="str">
        <f aca="false">IF(B23="","",IFERROR(S23/INDEX(設定!$C$43:$C$45,MATCH(K23,設定!$B$43:$B$45,0)),""))</f>
        <v/>
      </c>
      <c r="V23" s="7" t="str">
        <f aca="false">IF(B23="","",IF(P23&lt;=設定!$C$6,IF(S23&gt;=設定!$C$7,"I(コア)","II(回転)"),IF(S23&gt;=設定!$C$7,"III(厳選)","IV(見送り)")))</f>
        <v/>
      </c>
      <c r="W23" s="26" t="str">
        <f aca="false">IF(B23="","",IF(L23="在庫中",IF($C$6=0,"",O23/$C$6),""))</f>
        <v/>
      </c>
      <c r="X23" s="21"/>
    </row>
    <row r="24" customFormat="false" ht="15" hidden="false" customHeight="false" outlineLevel="0" collapsed="false">
      <c r="A24" s="18" t="str">
        <f aca="false">IF(B24="","",ROW()-10)</f>
        <v/>
      </c>
      <c r="B24" s="21"/>
      <c r="C24" s="20"/>
      <c r="D24" s="21"/>
      <c r="E24" s="21"/>
      <c r="F24" s="21"/>
      <c r="G24" s="21"/>
      <c r="H24" s="21"/>
      <c r="I24" s="21"/>
      <c r="J24" s="20"/>
      <c r="K24" s="20"/>
      <c r="L24" s="20"/>
      <c r="M24" s="35"/>
      <c r="N24" s="22"/>
      <c r="O24" s="22"/>
      <c r="P24" s="23"/>
      <c r="Q24" s="24" t="str">
        <f aca="false">IF(B24="","",P24*IFERROR(INDEX(設定!$C$43:$C$45,MATCH(K24,設定!$B$43:$B$45,0)),1))</f>
        <v/>
      </c>
      <c r="R24" s="25" t="str">
        <f aca="false">IF(B24="","",O24-N24)</f>
        <v/>
      </c>
      <c r="S24" s="26" t="str">
        <f aca="false">IF(B24="","",IF(N24=0,"",R24/N24))</f>
        <v/>
      </c>
      <c r="T24" s="26" t="str">
        <f aca="false">IF(B24="","",IF(P24=0,"",S24*365/P24))</f>
        <v/>
      </c>
      <c r="U24" s="27" t="str">
        <f aca="false">IF(B24="","",IFERROR(S24/INDEX(設定!$C$43:$C$45,MATCH(K24,設定!$B$43:$B$45,0)),""))</f>
        <v/>
      </c>
      <c r="V24" s="7" t="str">
        <f aca="false">IF(B24="","",IF(P24&lt;=設定!$C$6,IF(S24&gt;=設定!$C$7,"I(コア)","II(回転)"),IF(S24&gt;=設定!$C$7,"III(厳選)","IV(見送り)")))</f>
        <v/>
      </c>
      <c r="W24" s="26" t="str">
        <f aca="false">IF(B24="","",IF(L24="在庫中",IF($C$6=0,"",O24/$C$6),""))</f>
        <v/>
      </c>
      <c r="X24" s="21"/>
    </row>
    <row r="25" customFormat="false" ht="15" hidden="false" customHeight="false" outlineLevel="0" collapsed="false">
      <c r="A25" s="18" t="str">
        <f aca="false">IF(B25="","",ROW()-10)</f>
        <v/>
      </c>
      <c r="B25" s="21"/>
      <c r="C25" s="20"/>
      <c r="D25" s="21"/>
      <c r="E25" s="21"/>
      <c r="F25" s="21"/>
      <c r="G25" s="21"/>
      <c r="H25" s="21"/>
      <c r="I25" s="21"/>
      <c r="J25" s="20"/>
      <c r="K25" s="20"/>
      <c r="L25" s="20"/>
      <c r="M25" s="35"/>
      <c r="N25" s="22"/>
      <c r="O25" s="22"/>
      <c r="P25" s="23"/>
      <c r="Q25" s="24" t="str">
        <f aca="false">IF(B25="","",P25*IFERROR(INDEX(設定!$C$43:$C$45,MATCH(K25,設定!$B$43:$B$45,0)),1))</f>
        <v/>
      </c>
      <c r="R25" s="25" t="str">
        <f aca="false">IF(B25="","",O25-N25)</f>
        <v/>
      </c>
      <c r="S25" s="26" t="str">
        <f aca="false">IF(B25="","",IF(N25=0,"",R25/N25))</f>
        <v/>
      </c>
      <c r="T25" s="26" t="str">
        <f aca="false">IF(B25="","",IF(P25=0,"",S25*365/P25))</f>
        <v/>
      </c>
      <c r="U25" s="27" t="str">
        <f aca="false">IF(B25="","",IFERROR(S25/INDEX(設定!$C$43:$C$45,MATCH(K25,設定!$B$43:$B$45,0)),""))</f>
        <v/>
      </c>
      <c r="V25" s="7" t="str">
        <f aca="false">IF(B25="","",IF(P25&lt;=設定!$C$6,IF(S25&gt;=設定!$C$7,"I(コア)","II(回転)"),IF(S25&gt;=設定!$C$7,"III(厳選)","IV(見送り)")))</f>
        <v/>
      </c>
      <c r="W25" s="26" t="str">
        <f aca="false">IF(B25="","",IF(L25="在庫中",IF($C$6=0,"",O25/$C$6),""))</f>
        <v/>
      </c>
      <c r="X25" s="21"/>
    </row>
    <row r="26" customFormat="false" ht="15" hidden="false" customHeight="false" outlineLevel="0" collapsed="false">
      <c r="A26" s="18" t="str">
        <f aca="false">IF(B26="","",ROW()-10)</f>
        <v/>
      </c>
      <c r="B26" s="21"/>
      <c r="C26" s="20"/>
      <c r="D26" s="21"/>
      <c r="E26" s="21"/>
      <c r="F26" s="21"/>
      <c r="G26" s="21"/>
      <c r="H26" s="21"/>
      <c r="I26" s="21"/>
      <c r="J26" s="20"/>
      <c r="K26" s="20"/>
      <c r="L26" s="20"/>
      <c r="M26" s="35"/>
      <c r="N26" s="22"/>
      <c r="O26" s="22"/>
      <c r="P26" s="23"/>
      <c r="Q26" s="24" t="str">
        <f aca="false">IF(B26="","",P26*IFERROR(INDEX(設定!$C$43:$C$45,MATCH(K26,設定!$B$43:$B$45,0)),1))</f>
        <v/>
      </c>
      <c r="R26" s="25" t="str">
        <f aca="false">IF(B26="","",O26-N26)</f>
        <v/>
      </c>
      <c r="S26" s="26" t="str">
        <f aca="false">IF(B26="","",IF(N26=0,"",R26/N26))</f>
        <v/>
      </c>
      <c r="T26" s="26" t="str">
        <f aca="false">IF(B26="","",IF(P26=0,"",S26*365/P26))</f>
        <v/>
      </c>
      <c r="U26" s="27" t="str">
        <f aca="false">IF(B26="","",IFERROR(S26/INDEX(設定!$C$43:$C$45,MATCH(K26,設定!$B$43:$B$45,0)),""))</f>
        <v/>
      </c>
      <c r="V26" s="7" t="str">
        <f aca="false">IF(B26="","",IF(P26&lt;=設定!$C$6,IF(S26&gt;=設定!$C$7,"I(コア)","II(回転)"),IF(S26&gt;=設定!$C$7,"III(厳選)","IV(見送り)")))</f>
        <v/>
      </c>
      <c r="W26" s="26" t="str">
        <f aca="false">IF(B26="","",IF(L26="在庫中",IF($C$6=0,"",O26/$C$6),""))</f>
        <v/>
      </c>
      <c r="X26" s="21"/>
    </row>
    <row r="27" customFormat="false" ht="15" hidden="false" customHeight="false" outlineLevel="0" collapsed="false">
      <c r="A27" s="18" t="str">
        <f aca="false">IF(B27="","",ROW()-10)</f>
        <v/>
      </c>
      <c r="B27" s="21"/>
      <c r="C27" s="20"/>
      <c r="D27" s="21"/>
      <c r="E27" s="21"/>
      <c r="F27" s="21"/>
      <c r="G27" s="21"/>
      <c r="H27" s="21"/>
      <c r="I27" s="21"/>
      <c r="J27" s="20"/>
      <c r="K27" s="20"/>
      <c r="L27" s="20"/>
      <c r="M27" s="35"/>
      <c r="N27" s="22"/>
      <c r="O27" s="22"/>
      <c r="P27" s="23"/>
      <c r="Q27" s="24" t="str">
        <f aca="false">IF(B27="","",P27*IFERROR(INDEX(設定!$C$43:$C$45,MATCH(K27,設定!$B$43:$B$45,0)),1))</f>
        <v/>
      </c>
      <c r="R27" s="25" t="str">
        <f aca="false">IF(B27="","",O27-N27)</f>
        <v/>
      </c>
      <c r="S27" s="26" t="str">
        <f aca="false">IF(B27="","",IF(N27=0,"",R27/N27))</f>
        <v/>
      </c>
      <c r="T27" s="26" t="str">
        <f aca="false">IF(B27="","",IF(P27=0,"",S27*365/P27))</f>
        <v/>
      </c>
      <c r="U27" s="27" t="str">
        <f aca="false">IF(B27="","",IFERROR(S27/INDEX(設定!$C$43:$C$45,MATCH(K27,設定!$B$43:$B$45,0)),""))</f>
        <v/>
      </c>
      <c r="V27" s="7" t="str">
        <f aca="false">IF(B27="","",IF(P27&lt;=設定!$C$6,IF(S27&gt;=設定!$C$7,"I(コア)","II(回転)"),IF(S27&gt;=設定!$C$7,"III(厳選)","IV(見送り)")))</f>
        <v/>
      </c>
      <c r="W27" s="26" t="str">
        <f aca="false">IF(B27="","",IF(L27="在庫中",IF($C$6=0,"",O27/$C$6),""))</f>
        <v/>
      </c>
      <c r="X27" s="21"/>
    </row>
    <row r="28" customFormat="false" ht="15" hidden="false" customHeight="false" outlineLevel="0" collapsed="false">
      <c r="A28" s="18" t="str">
        <f aca="false">IF(B28="","",ROW()-10)</f>
        <v/>
      </c>
      <c r="B28" s="21"/>
      <c r="C28" s="20"/>
      <c r="D28" s="21"/>
      <c r="E28" s="21"/>
      <c r="F28" s="21"/>
      <c r="G28" s="21"/>
      <c r="H28" s="21"/>
      <c r="I28" s="21"/>
      <c r="J28" s="20"/>
      <c r="K28" s="20"/>
      <c r="L28" s="20"/>
      <c r="M28" s="35"/>
      <c r="N28" s="22"/>
      <c r="O28" s="22"/>
      <c r="P28" s="23"/>
      <c r="Q28" s="24" t="str">
        <f aca="false">IF(B28="","",P28*IFERROR(INDEX(設定!$C$43:$C$45,MATCH(K28,設定!$B$43:$B$45,0)),1))</f>
        <v/>
      </c>
      <c r="R28" s="25" t="str">
        <f aca="false">IF(B28="","",O28-N28)</f>
        <v/>
      </c>
      <c r="S28" s="26" t="str">
        <f aca="false">IF(B28="","",IF(N28=0,"",R28/N28))</f>
        <v/>
      </c>
      <c r="T28" s="26" t="str">
        <f aca="false">IF(B28="","",IF(P28=0,"",S28*365/P28))</f>
        <v/>
      </c>
      <c r="U28" s="27" t="str">
        <f aca="false">IF(B28="","",IFERROR(S28/INDEX(設定!$C$43:$C$45,MATCH(K28,設定!$B$43:$B$45,0)),""))</f>
        <v/>
      </c>
      <c r="V28" s="7" t="str">
        <f aca="false">IF(B28="","",IF(P28&lt;=設定!$C$6,IF(S28&gt;=設定!$C$7,"I(コア)","II(回転)"),IF(S28&gt;=設定!$C$7,"III(厳選)","IV(見送り)")))</f>
        <v/>
      </c>
      <c r="W28" s="26" t="str">
        <f aca="false">IF(B28="","",IF(L28="在庫中",IF($C$6=0,"",O28/$C$6),""))</f>
        <v/>
      </c>
      <c r="X28" s="21"/>
    </row>
    <row r="29" customFormat="false" ht="15" hidden="false" customHeight="false" outlineLevel="0" collapsed="false">
      <c r="A29" s="18" t="str">
        <f aca="false">IF(B29="","",ROW()-10)</f>
        <v/>
      </c>
      <c r="B29" s="21"/>
      <c r="C29" s="20"/>
      <c r="D29" s="21"/>
      <c r="E29" s="21"/>
      <c r="F29" s="21"/>
      <c r="G29" s="21"/>
      <c r="H29" s="21"/>
      <c r="I29" s="21"/>
      <c r="J29" s="20"/>
      <c r="K29" s="20"/>
      <c r="L29" s="20"/>
      <c r="M29" s="35"/>
      <c r="N29" s="22"/>
      <c r="O29" s="22"/>
      <c r="P29" s="23"/>
      <c r="Q29" s="24" t="str">
        <f aca="false">IF(B29="","",P29*IFERROR(INDEX(設定!$C$43:$C$45,MATCH(K29,設定!$B$43:$B$45,0)),1))</f>
        <v/>
      </c>
      <c r="R29" s="25" t="str">
        <f aca="false">IF(B29="","",O29-N29)</f>
        <v/>
      </c>
      <c r="S29" s="26" t="str">
        <f aca="false">IF(B29="","",IF(N29=0,"",R29/N29))</f>
        <v/>
      </c>
      <c r="T29" s="26" t="str">
        <f aca="false">IF(B29="","",IF(P29=0,"",S29*365/P29))</f>
        <v/>
      </c>
      <c r="U29" s="27" t="str">
        <f aca="false">IF(B29="","",IFERROR(S29/INDEX(設定!$C$43:$C$45,MATCH(K29,設定!$B$43:$B$45,0)),""))</f>
        <v/>
      </c>
      <c r="V29" s="7" t="str">
        <f aca="false">IF(B29="","",IF(P29&lt;=設定!$C$6,IF(S29&gt;=設定!$C$7,"I(コア)","II(回転)"),IF(S29&gt;=設定!$C$7,"III(厳選)","IV(見送り)")))</f>
        <v/>
      </c>
      <c r="W29" s="26" t="str">
        <f aca="false">IF(B29="","",IF(L29="在庫中",IF($C$6=0,"",O29/$C$6),""))</f>
        <v/>
      </c>
      <c r="X29" s="21"/>
    </row>
    <row r="30" customFormat="false" ht="15" hidden="false" customHeight="false" outlineLevel="0" collapsed="false">
      <c r="A30" s="18" t="str">
        <f aca="false">IF(B30="","",ROW()-10)</f>
        <v/>
      </c>
      <c r="B30" s="21"/>
      <c r="C30" s="20"/>
      <c r="D30" s="21"/>
      <c r="E30" s="21"/>
      <c r="F30" s="21"/>
      <c r="G30" s="21"/>
      <c r="H30" s="21"/>
      <c r="I30" s="21"/>
      <c r="J30" s="20"/>
      <c r="K30" s="20"/>
      <c r="L30" s="20"/>
      <c r="M30" s="35"/>
      <c r="N30" s="22"/>
      <c r="O30" s="22"/>
      <c r="P30" s="23"/>
      <c r="Q30" s="24" t="str">
        <f aca="false">IF(B30="","",P30*IFERROR(INDEX(設定!$C$43:$C$45,MATCH(K30,設定!$B$43:$B$45,0)),1))</f>
        <v/>
      </c>
      <c r="R30" s="25" t="str">
        <f aca="false">IF(B30="","",O30-N30)</f>
        <v/>
      </c>
      <c r="S30" s="26" t="str">
        <f aca="false">IF(B30="","",IF(N30=0,"",R30/N30))</f>
        <v/>
      </c>
      <c r="T30" s="26" t="str">
        <f aca="false">IF(B30="","",IF(P30=0,"",S30*365/P30))</f>
        <v/>
      </c>
      <c r="U30" s="27" t="str">
        <f aca="false">IF(B30="","",IFERROR(S30/INDEX(設定!$C$43:$C$45,MATCH(K30,設定!$B$43:$B$45,0)),""))</f>
        <v/>
      </c>
      <c r="V30" s="7" t="str">
        <f aca="false">IF(B30="","",IF(P30&lt;=設定!$C$6,IF(S30&gt;=設定!$C$7,"I(コア)","II(回転)"),IF(S30&gt;=設定!$C$7,"III(厳選)","IV(見送り)")))</f>
        <v/>
      </c>
      <c r="W30" s="26" t="str">
        <f aca="false">IF(B30="","",IF(L30="在庫中",IF($C$6=0,"",O30/$C$6),""))</f>
        <v/>
      </c>
      <c r="X30" s="21"/>
    </row>
    <row r="31" customFormat="false" ht="15" hidden="false" customHeight="false" outlineLevel="0" collapsed="false">
      <c r="A31" s="18" t="str">
        <f aca="false">IF(B31="","",ROW()-10)</f>
        <v/>
      </c>
      <c r="B31" s="21"/>
      <c r="C31" s="20"/>
      <c r="D31" s="21"/>
      <c r="E31" s="21"/>
      <c r="F31" s="21"/>
      <c r="G31" s="21"/>
      <c r="H31" s="21"/>
      <c r="I31" s="21"/>
      <c r="J31" s="20"/>
      <c r="K31" s="20"/>
      <c r="L31" s="20"/>
      <c r="M31" s="35"/>
      <c r="N31" s="22"/>
      <c r="O31" s="22"/>
      <c r="P31" s="23"/>
      <c r="Q31" s="24" t="str">
        <f aca="false">IF(B31="","",P31*IFERROR(INDEX(設定!$C$43:$C$45,MATCH(K31,設定!$B$43:$B$45,0)),1))</f>
        <v/>
      </c>
      <c r="R31" s="25" t="str">
        <f aca="false">IF(B31="","",O31-N31)</f>
        <v/>
      </c>
      <c r="S31" s="26" t="str">
        <f aca="false">IF(B31="","",IF(N31=0,"",R31/N31))</f>
        <v/>
      </c>
      <c r="T31" s="26" t="str">
        <f aca="false">IF(B31="","",IF(P31=0,"",S31*365/P31))</f>
        <v/>
      </c>
      <c r="U31" s="27" t="str">
        <f aca="false">IF(B31="","",IFERROR(S31/INDEX(設定!$C$43:$C$45,MATCH(K31,設定!$B$43:$B$45,0)),""))</f>
        <v/>
      </c>
      <c r="V31" s="7" t="str">
        <f aca="false">IF(B31="","",IF(P31&lt;=設定!$C$6,IF(S31&gt;=設定!$C$7,"I(コア)","II(回転)"),IF(S31&gt;=設定!$C$7,"III(厳選)","IV(見送り)")))</f>
        <v/>
      </c>
      <c r="W31" s="26" t="str">
        <f aca="false">IF(B31="","",IF(L31="在庫中",IF($C$6=0,"",O31/$C$6),""))</f>
        <v/>
      </c>
      <c r="X31" s="21"/>
    </row>
    <row r="32" customFormat="false" ht="15" hidden="false" customHeight="false" outlineLevel="0" collapsed="false">
      <c r="A32" s="18" t="str">
        <f aca="false">IF(B32="","",ROW()-10)</f>
        <v/>
      </c>
      <c r="B32" s="21"/>
      <c r="C32" s="20"/>
      <c r="D32" s="21"/>
      <c r="E32" s="21"/>
      <c r="F32" s="21"/>
      <c r="G32" s="21"/>
      <c r="H32" s="21"/>
      <c r="I32" s="21"/>
      <c r="J32" s="20"/>
      <c r="K32" s="20"/>
      <c r="L32" s="20"/>
      <c r="M32" s="35"/>
      <c r="N32" s="22"/>
      <c r="O32" s="22"/>
      <c r="P32" s="23"/>
      <c r="Q32" s="24" t="str">
        <f aca="false">IF(B32="","",P32*IFERROR(INDEX(設定!$C$43:$C$45,MATCH(K32,設定!$B$43:$B$45,0)),1))</f>
        <v/>
      </c>
      <c r="R32" s="25" t="str">
        <f aca="false">IF(B32="","",O32-N32)</f>
        <v/>
      </c>
      <c r="S32" s="26" t="str">
        <f aca="false">IF(B32="","",IF(N32=0,"",R32/N32))</f>
        <v/>
      </c>
      <c r="T32" s="26" t="str">
        <f aca="false">IF(B32="","",IF(P32=0,"",S32*365/P32))</f>
        <v/>
      </c>
      <c r="U32" s="27" t="str">
        <f aca="false">IF(B32="","",IFERROR(S32/INDEX(設定!$C$43:$C$45,MATCH(K32,設定!$B$43:$B$45,0)),""))</f>
        <v/>
      </c>
      <c r="V32" s="7" t="str">
        <f aca="false">IF(B32="","",IF(P32&lt;=設定!$C$6,IF(S32&gt;=設定!$C$7,"I(コア)","II(回転)"),IF(S32&gt;=設定!$C$7,"III(厳選)","IV(見送り)")))</f>
        <v/>
      </c>
      <c r="W32" s="26" t="str">
        <f aca="false">IF(B32="","",IF(L32="在庫中",IF($C$6=0,"",O32/$C$6),""))</f>
        <v/>
      </c>
      <c r="X32" s="21"/>
    </row>
    <row r="33" customFormat="false" ht="15" hidden="false" customHeight="false" outlineLevel="0" collapsed="false">
      <c r="A33" s="18" t="str">
        <f aca="false">IF(B33="","",ROW()-10)</f>
        <v/>
      </c>
      <c r="B33" s="21"/>
      <c r="C33" s="20"/>
      <c r="D33" s="21"/>
      <c r="E33" s="21"/>
      <c r="F33" s="21"/>
      <c r="G33" s="21"/>
      <c r="H33" s="21"/>
      <c r="I33" s="21"/>
      <c r="J33" s="20"/>
      <c r="K33" s="20"/>
      <c r="L33" s="20"/>
      <c r="M33" s="35"/>
      <c r="N33" s="22"/>
      <c r="O33" s="22"/>
      <c r="P33" s="23"/>
      <c r="Q33" s="24" t="str">
        <f aca="false">IF(B33="","",P33*IFERROR(INDEX(設定!$C$43:$C$45,MATCH(K33,設定!$B$43:$B$45,0)),1))</f>
        <v/>
      </c>
      <c r="R33" s="25" t="str">
        <f aca="false">IF(B33="","",O33-N33)</f>
        <v/>
      </c>
      <c r="S33" s="26" t="str">
        <f aca="false">IF(B33="","",IF(N33=0,"",R33/N33))</f>
        <v/>
      </c>
      <c r="T33" s="26" t="str">
        <f aca="false">IF(B33="","",IF(P33=0,"",S33*365/P33))</f>
        <v/>
      </c>
      <c r="U33" s="27" t="str">
        <f aca="false">IF(B33="","",IFERROR(S33/INDEX(設定!$C$43:$C$45,MATCH(K33,設定!$B$43:$B$45,0)),""))</f>
        <v/>
      </c>
      <c r="V33" s="7" t="str">
        <f aca="false">IF(B33="","",IF(P33&lt;=設定!$C$6,IF(S33&gt;=設定!$C$7,"I(コア)","II(回転)"),IF(S33&gt;=設定!$C$7,"III(厳選)","IV(見送り)")))</f>
        <v/>
      </c>
      <c r="W33" s="26" t="str">
        <f aca="false">IF(B33="","",IF(L33="在庫中",IF($C$6=0,"",O33/$C$6),""))</f>
        <v/>
      </c>
      <c r="X33" s="21"/>
    </row>
    <row r="34" customFormat="false" ht="15" hidden="false" customHeight="false" outlineLevel="0" collapsed="false">
      <c r="A34" s="18" t="str">
        <f aca="false">IF(B34="","",ROW()-10)</f>
        <v/>
      </c>
      <c r="B34" s="21"/>
      <c r="C34" s="20"/>
      <c r="D34" s="21"/>
      <c r="E34" s="21"/>
      <c r="F34" s="21"/>
      <c r="G34" s="21"/>
      <c r="H34" s="21"/>
      <c r="I34" s="21"/>
      <c r="J34" s="20"/>
      <c r="K34" s="20"/>
      <c r="L34" s="20"/>
      <c r="M34" s="35"/>
      <c r="N34" s="22"/>
      <c r="O34" s="22"/>
      <c r="P34" s="23"/>
      <c r="Q34" s="24" t="str">
        <f aca="false">IF(B34="","",P34*IFERROR(INDEX(設定!$C$43:$C$45,MATCH(K34,設定!$B$43:$B$45,0)),1))</f>
        <v/>
      </c>
      <c r="R34" s="25" t="str">
        <f aca="false">IF(B34="","",O34-N34)</f>
        <v/>
      </c>
      <c r="S34" s="26" t="str">
        <f aca="false">IF(B34="","",IF(N34=0,"",R34/N34))</f>
        <v/>
      </c>
      <c r="T34" s="26" t="str">
        <f aca="false">IF(B34="","",IF(P34=0,"",S34*365/P34))</f>
        <v/>
      </c>
      <c r="U34" s="27" t="str">
        <f aca="false">IF(B34="","",IFERROR(S34/INDEX(設定!$C$43:$C$45,MATCH(K34,設定!$B$43:$B$45,0)),""))</f>
        <v/>
      </c>
      <c r="V34" s="7" t="str">
        <f aca="false">IF(B34="","",IF(P34&lt;=設定!$C$6,IF(S34&gt;=設定!$C$7,"I(コア)","II(回転)"),IF(S34&gt;=設定!$C$7,"III(厳選)","IV(見送り)")))</f>
        <v/>
      </c>
      <c r="W34" s="26" t="str">
        <f aca="false">IF(B34="","",IF(L34="在庫中",IF($C$6=0,"",O34/$C$6),""))</f>
        <v/>
      </c>
      <c r="X34" s="21"/>
    </row>
    <row r="35" customFormat="false" ht="15" hidden="false" customHeight="false" outlineLevel="0" collapsed="false">
      <c r="A35" s="18" t="str">
        <f aca="false">IF(B35="","",ROW()-10)</f>
        <v/>
      </c>
      <c r="B35" s="21"/>
      <c r="C35" s="20"/>
      <c r="D35" s="21"/>
      <c r="E35" s="21"/>
      <c r="F35" s="21"/>
      <c r="G35" s="21"/>
      <c r="H35" s="21"/>
      <c r="I35" s="21"/>
      <c r="J35" s="20"/>
      <c r="K35" s="20"/>
      <c r="L35" s="20"/>
      <c r="M35" s="35"/>
      <c r="N35" s="22"/>
      <c r="O35" s="22"/>
      <c r="P35" s="23"/>
      <c r="Q35" s="24" t="str">
        <f aca="false">IF(B35="","",P35*IFERROR(INDEX(設定!$C$43:$C$45,MATCH(K35,設定!$B$43:$B$45,0)),1))</f>
        <v/>
      </c>
      <c r="R35" s="25" t="str">
        <f aca="false">IF(B35="","",O35-N35)</f>
        <v/>
      </c>
      <c r="S35" s="26" t="str">
        <f aca="false">IF(B35="","",IF(N35=0,"",R35/N35))</f>
        <v/>
      </c>
      <c r="T35" s="26" t="str">
        <f aca="false">IF(B35="","",IF(P35=0,"",S35*365/P35))</f>
        <v/>
      </c>
      <c r="U35" s="27" t="str">
        <f aca="false">IF(B35="","",IFERROR(S35/INDEX(設定!$C$43:$C$45,MATCH(K35,設定!$B$43:$B$45,0)),""))</f>
        <v/>
      </c>
      <c r="V35" s="7" t="str">
        <f aca="false">IF(B35="","",IF(P35&lt;=設定!$C$6,IF(S35&gt;=設定!$C$7,"I(コア)","II(回転)"),IF(S35&gt;=設定!$C$7,"III(厳選)","IV(見送り)")))</f>
        <v/>
      </c>
      <c r="W35" s="26" t="str">
        <f aca="false">IF(B35="","",IF(L35="在庫中",IF($C$6=0,"",O35/$C$6),""))</f>
        <v/>
      </c>
      <c r="X35" s="21"/>
    </row>
    <row r="36" customFormat="false" ht="15" hidden="false" customHeight="false" outlineLevel="0" collapsed="false">
      <c r="A36" s="18" t="str">
        <f aca="false">IF(B36="","",ROW()-10)</f>
        <v/>
      </c>
      <c r="B36" s="21"/>
      <c r="C36" s="20"/>
      <c r="D36" s="21"/>
      <c r="E36" s="21"/>
      <c r="F36" s="21"/>
      <c r="G36" s="21"/>
      <c r="H36" s="21"/>
      <c r="I36" s="21"/>
      <c r="J36" s="20"/>
      <c r="K36" s="20"/>
      <c r="L36" s="20"/>
      <c r="M36" s="35"/>
      <c r="N36" s="22"/>
      <c r="O36" s="22"/>
      <c r="P36" s="23"/>
      <c r="Q36" s="24" t="str">
        <f aca="false">IF(B36="","",P36*IFERROR(INDEX(設定!$C$43:$C$45,MATCH(K36,設定!$B$43:$B$45,0)),1))</f>
        <v/>
      </c>
      <c r="R36" s="25" t="str">
        <f aca="false">IF(B36="","",O36-N36)</f>
        <v/>
      </c>
      <c r="S36" s="26" t="str">
        <f aca="false">IF(B36="","",IF(N36=0,"",R36/N36))</f>
        <v/>
      </c>
      <c r="T36" s="26" t="str">
        <f aca="false">IF(B36="","",IF(P36=0,"",S36*365/P36))</f>
        <v/>
      </c>
      <c r="U36" s="27" t="str">
        <f aca="false">IF(B36="","",IFERROR(S36/INDEX(設定!$C$43:$C$45,MATCH(K36,設定!$B$43:$B$45,0)),""))</f>
        <v/>
      </c>
      <c r="V36" s="7" t="str">
        <f aca="false">IF(B36="","",IF(P36&lt;=設定!$C$6,IF(S36&gt;=設定!$C$7,"I(コア)","II(回転)"),IF(S36&gt;=設定!$C$7,"III(厳選)","IV(見送り)")))</f>
        <v/>
      </c>
      <c r="W36" s="26" t="str">
        <f aca="false">IF(B36="","",IF(L36="在庫中",IF($C$6=0,"",O36/$C$6),""))</f>
        <v/>
      </c>
      <c r="X36" s="21"/>
    </row>
    <row r="37" customFormat="false" ht="15" hidden="false" customHeight="false" outlineLevel="0" collapsed="false">
      <c r="A37" s="18" t="str">
        <f aca="false">IF(B37="","",ROW()-10)</f>
        <v/>
      </c>
      <c r="B37" s="21"/>
      <c r="C37" s="20"/>
      <c r="D37" s="21"/>
      <c r="E37" s="21"/>
      <c r="F37" s="21"/>
      <c r="G37" s="21"/>
      <c r="H37" s="21"/>
      <c r="I37" s="21"/>
      <c r="J37" s="20"/>
      <c r="K37" s="20"/>
      <c r="L37" s="20"/>
      <c r="M37" s="35"/>
      <c r="N37" s="22"/>
      <c r="O37" s="22"/>
      <c r="P37" s="23"/>
      <c r="Q37" s="24" t="str">
        <f aca="false">IF(B37="","",P37*IFERROR(INDEX(設定!$C$43:$C$45,MATCH(K37,設定!$B$43:$B$45,0)),1))</f>
        <v/>
      </c>
      <c r="R37" s="25" t="str">
        <f aca="false">IF(B37="","",O37-N37)</f>
        <v/>
      </c>
      <c r="S37" s="26" t="str">
        <f aca="false">IF(B37="","",IF(N37=0,"",R37/N37))</f>
        <v/>
      </c>
      <c r="T37" s="26" t="str">
        <f aca="false">IF(B37="","",IF(P37=0,"",S37*365/P37))</f>
        <v/>
      </c>
      <c r="U37" s="27" t="str">
        <f aca="false">IF(B37="","",IFERROR(S37/INDEX(設定!$C$43:$C$45,MATCH(K37,設定!$B$43:$B$45,0)),""))</f>
        <v/>
      </c>
      <c r="V37" s="7" t="str">
        <f aca="false">IF(B37="","",IF(P37&lt;=設定!$C$6,IF(S37&gt;=設定!$C$7,"I(コア)","II(回転)"),IF(S37&gt;=設定!$C$7,"III(厳選)","IV(見送り)")))</f>
        <v/>
      </c>
      <c r="W37" s="26" t="str">
        <f aca="false">IF(B37="","",IF(L37="在庫中",IF($C$6=0,"",O37/$C$6),""))</f>
        <v/>
      </c>
      <c r="X37" s="21"/>
    </row>
    <row r="38" customFormat="false" ht="15" hidden="false" customHeight="false" outlineLevel="0" collapsed="false">
      <c r="A38" s="18" t="str">
        <f aca="false">IF(B38="","",ROW()-10)</f>
        <v/>
      </c>
      <c r="B38" s="21"/>
      <c r="C38" s="20"/>
      <c r="D38" s="21"/>
      <c r="E38" s="21"/>
      <c r="F38" s="21"/>
      <c r="G38" s="21"/>
      <c r="H38" s="21"/>
      <c r="I38" s="21"/>
      <c r="J38" s="20"/>
      <c r="K38" s="20"/>
      <c r="L38" s="20"/>
      <c r="M38" s="35"/>
      <c r="N38" s="22"/>
      <c r="O38" s="22"/>
      <c r="P38" s="23"/>
      <c r="Q38" s="24" t="str">
        <f aca="false">IF(B38="","",P38*IFERROR(INDEX(設定!$C$43:$C$45,MATCH(K38,設定!$B$43:$B$45,0)),1))</f>
        <v/>
      </c>
      <c r="R38" s="25" t="str">
        <f aca="false">IF(B38="","",O38-N38)</f>
        <v/>
      </c>
      <c r="S38" s="26" t="str">
        <f aca="false">IF(B38="","",IF(N38=0,"",R38/N38))</f>
        <v/>
      </c>
      <c r="T38" s="26" t="str">
        <f aca="false">IF(B38="","",IF(P38=0,"",S38*365/P38))</f>
        <v/>
      </c>
      <c r="U38" s="27" t="str">
        <f aca="false">IF(B38="","",IFERROR(S38/INDEX(設定!$C$43:$C$45,MATCH(K38,設定!$B$43:$B$45,0)),""))</f>
        <v/>
      </c>
      <c r="V38" s="7" t="str">
        <f aca="false">IF(B38="","",IF(P38&lt;=設定!$C$6,IF(S38&gt;=設定!$C$7,"I(コア)","II(回転)"),IF(S38&gt;=設定!$C$7,"III(厳選)","IV(見送り)")))</f>
        <v/>
      </c>
      <c r="W38" s="26" t="str">
        <f aca="false">IF(B38="","",IF(L38="在庫中",IF($C$6=0,"",O38/$C$6),""))</f>
        <v/>
      </c>
      <c r="X38" s="21"/>
    </row>
    <row r="39" customFormat="false" ht="15" hidden="false" customHeight="false" outlineLevel="0" collapsed="false">
      <c r="A39" s="18" t="str">
        <f aca="false">IF(B39="","",ROW()-10)</f>
        <v/>
      </c>
      <c r="B39" s="21"/>
      <c r="C39" s="20"/>
      <c r="D39" s="21"/>
      <c r="E39" s="21"/>
      <c r="F39" s="21"/>
      <c r="G39" s="21"/>
      <c r="H39" s="21"/>
      <c r="I39" s="21"/>
      <c r="J39" s="20"/>
      <c r="K39" s="20"/>
      <c r="L39" s="20"/>
      <c r="M39" s="35"/>
      <c r="N39" s="22"/>
      <c r="O39" s="22"/>
      <c r="P39" s="23"/>
      <c r="Q39" s="24" t="str">
        <f aca="false">IF(B39="","",P39*IFERROR(INDEX(設定!$C$43:$C$45,MATCH(K39,設定!$B$43:$B$45,0)),1))</f>
        <v/>
      </c>
      <c r="R39" s="25" t="str">
        <f aca="false">IF(B39="","",O39-N39)</f>
        <v/>
      </c>
      <c r="S39" s="26" t="str">
        <f aca="false">IF(B39="","",IF(N39=0,"",R39/N39))</f>
        <v/>
      </c>
      <c r="T39" s="26" t="str">
        <f aca="false">IF(B39="","",IF(P39=0,"",S39*365/P39))</f>
        <v/>
      </c>
      <c r="U39" s="27" t="str">
        <f aca="false">IF(B39="","",IFERROR(S39/INDEX(設定!$C$43:$C$45,MATCH(K39,設定!$B$43:$B$45,0)),""))</f>
        <v/>
      </c>
      <c r="V39" s="7" t="str">
        <f aca="false">IF(B39="","",IF(P39&lt;=設定!$C$6,IF(S39&gt;=設定!$C$7,"I(コア)","II(回転)"),IF(S39&gt;=設定!$C$7,"III(厳選)","IV(見送り)")))</f>
        <v/>
      </c>
      <c r="W39" s="26" t="str">
        <f aca="false">IF(B39="","",IF(L39="在庫中",IF($C$6=0,"",O39/$C$6),""))</f>
        <v/>
      </c>
      <c r="X39" s="21"/>
    </row>
    <row r="40" customFormat="false" ht="15" hidden="false" customHeight="false" outlineLevel="0" collapsed="false">
      <c r="A40" s="18" t="str">
        <f aca="false">IF(B40="","",ROW()-10)</f>
        <v/>
      </c>
      <c r="B40" s="21"/>
      <c r="C40" s="20"/>
      <c r="D40" s="21"/>
      <c r="E40" s="21"/>
      <c r="F40" s="21"/>
      <c r="G40" s="21"/>
      <c r="H40" s="21"/>
      <c r="I40" s="21"/>
      <c r="J40" s="20"/>
      <c r="K40" s="20"/>
      <c r="L40" s="20"/>
      <c r="M40" s="35"/>
      <c r="N40" s="22"/>
      <c r="O40" s="22"/>
      <c r="P40" s="23"/>
      <c r="Q40" s="24" t="str">
        <f aca="false">IF(B40="","",P40*IFERROR(INDEX(設定!$C$43:$C$45,MATCH(K40,設定!$B$43:$B$45,0)),1))</f>
        <v/>
      </c>
      <c r="R40" s="25" t="str">
        <f aca="false">IF(B40="","",O40-N40)</f>
        <v/>
      </c>
      <c r="S40" s="26" t="str">
        <f aca="false">IF(B40="","",IF(N40=0,"",R40/N40))</f>
        <v/>
      </c>
      <c r="T40" s="26" t="str">
        <f aca="false">IF(B40="","",IF(P40=0,"",S40*365/P40))</f>
        <v/>
      </c>
      <c r="U40" s="27" t="str">
        <f aca="false">IF(B40="","",IFERROR(S40/INDEX(設定!$C$43:$C$45,MATCH(K40,設定!$B$43:$B$45,0)),""))</f>
        <v/>
      </c>
      <c r="V40" s="7" t="str">
        <f aca="false">IF(B40="","",IF(P40&lt;=設定!$C$6,IF(S40&gt;=設定!$C$7,"I(コア)","II(回転)"),IF(S40&gt;=設定!$C$7,"III(厳選)","IV(見送り)")))</f>
        <v/>
      </c>
      <c r="W40" s="26" t="str">
        <f aca="false">IF(B40="","",IF(L40="在庫中",IF($C$6=0,"",O40/$C$6),""))</f>
        <v/>
      </c>
      <c r="X40" s="21"/>
    </row>
    <row r="41" customFormat="false" ht="15" hidden="false" customHeight="false" outlineLevel="0" collapsed="false">
      <c r="A41" s="18" t="str">
        <f aca="false">IF(B41="","",ROW()-10)</f>
        <v/>
      </c>
      <c r="B41" s="21"/>
      <c r="C41" s="20"/>
      <c r="D41" s="21"/>
      <c r="E41" s="21"/>
      <c r="F41" s="21"/>
      <c r="G41" s="21"/>
      <c r="H41" s="21"/>
      <c r="I41" s="21"/>
      <c r="J41" s="20"/>
      <c r="K41" s="20"/>
      <c r="L41" s="20"/>
      <c r="M41" s="35"/>
      <c r="N41" s="22"/>
      <c r="O41" s="22"/>
      <c r="P41" s="23"/>
      <c r="Q41" s="24" t="str">
        <f aca="false">IF(B41="","",P41*IFERROR(INDEX(設定!$C$43:$C$45,MATCH(K41,設定!$B$43:$B$45,0)),1))</f>
        <v/>
      </c>
      <c r="R41" s="25" t="str">
        <f aca="false">IF(B41="","",O41-N41)</f>
        <v/>
      </c>
      <c r="S41" s="26" t="str">
        <f aca="false">IF(B41="","",IF(N41=0,"",R41/N41))</f>
        <v/>
      </c>
      <c r="T41" s="26" t="str">
        <f aca="false">IF(B41="","",IF(P41=0,"",S41*365/P41))</f>
        <v/>
      </c>
      <c r="U41" s="27" t="str">
        <f aca="false">IF(B41="","",IFERROR(S41/INDEX(設定!$C$43:$C$45,MATCH(K41,設定!$B$43:$B$45,0)),""))</f>
        <v/>
      </c>
      <c r="V41" s="7" t="str">
        <f aca="false">IF(B41="","",IF(P41&lt;=設定!$C$6,IF(S41&gt;=設定!$C$7,"I(コア)","II(回転)"),IF(S41&gt;=設定!$C$7,"III(厳選)","IV(見送り)")))</f>
        <v/>
      </c>
      <c r="W41" s="26" t="str">
        <f aca="false">IF(B41="","",IF(L41="在庫中",IF($C$6=0,"",O41/$C$6),""))</f>
        <v/>
      </c>
      <c r="X41" s="21"/>
    </row>
    <row r="42" customFormat="false" ht="15" hidden="false" customHeight="false" outlineLevel="0" collapsed="false">
      <c r="A42" s="18" t="str">
        <f aca="false">IF(B42="","",ROW()-10)</f>
        <v/>
      </c>
      <c r="B42" s="21"/>
      <c r="C42" s="20"/>
      <c r="D42" s="21"/>
      <c r="E42" s="21"/>
      <c r="F42" s="21"/>
      <c r="G42" s="21"/>
      <c r="H42" s="21"/>
      <c r="I42" s="21"/>
      <c r="J42" s="20"/>
      <c r="K42" s="20"/>
      <c r="L42" s="20"/>
      <c r="M42" s="35"/>
      <c r="N42" s="22"/>
      <c r="O42" s="22"/>
      <c r="P42" s="23"/>
      <c r="Q42" s="24" t="str">
        <f aca="false">IF(B42="","",P42*IFERROR(INDEX(設定!$C$43:$C$45,MATCH(K42,設定!$B$43:$B$45,0)),1))</f>
        <v/>
      </c>
      <c r="R42" s="25" t="str">
        <f aca="false">IF(B42="","",O42-N42)</f>
        <v/>
      </c>
      <c r="S42" s="26" t="str">
        <f aca="false">IF(B42="","",IF(N42=0,"",R42/N42))</f>
        <v/>
      </c>
      <c r="T42" s="26" t="str">
        <f aca="false">IF(B42="","",IF(P42=0,"",S42*365/P42))</f>
        <v/>
      </c>
      <c r="U42" s="27" t="str">
        <f aca="false">IF(B42="","",IFERROR(S42/INDEX(設定!$C$43:$C$45,MATCH(K42,設定!$B$43:$B$45,0)),""))</f>
        <v/>
      </c>
      <c r="V42" s="7" t="str">
        <f aca="false">IF(B42="","",IF(P42&lt;=設定!$C$6,IF(S42&gt;=設定!$C$7,"I(コア)","II(回転)"),IF(S42&gt;=設定!$C$7,"III(厳選)","IV(見送り)")))</f>
        <v/>
      </c>
      <c r="W42" s="26" t="str">
        <f aca="false">IF(B42="","",IF(L42="在庫中",IF($C$6=0,"",O42/$C$6),""))</f>
        <v/>
      </c>
      <c r="X42" s="21"/>
    </row>
    <row r="43" customFormat="false" ht="15" hidden="false" customHeight="false" outlineLevel="0" collapsed="false">
      <c r="A43" s="18" t="str">
        <f aca="false">IF(B43="","",ROW()-10)</f>
        <v/>
      </c>
      <c r="B43" s="21"/>
      <c r="C43" s="20"/>
      <c r="D43" s="21"/>
      <c r="E43" s="21"/>
      <c r="F43" s="21"/>
      <c r="G43" s="21"/>
      <c r="H43" s="21"/>
      <c r="I43" s="21"/>
      <c r="J43" s="20"/>
      <c r="K43" s="20"/>
      <c r="L43" s="20"/>
      <c r="M43" s="35"/>
      <c r="N43" s="22"/>
      <c r="O43" s="22"/>
      <c r="P43" s="23"/>
      <c r="Q43" s="24" t="str">
        <f aca="false">IF(B43="","",P43*IFERROR(INDEX(設定!$C$43:$C$45,MATCH(K43,設定!$B$43:$B$45,0)),1))</f>
        <v/>
      </c>
      <c r="R43" s="25" t="str">
        <f aca="false">IF(B43="","",O43-N43)</f>
        <v/>
      </c>
      <c r="S43" s="26" t="str">
        <f aca="false">IF(B43="","",IF(N43=0,"",R43/N43))</f>
        <v/>
      </c>
      <c r="T43" s="26" t="str">
        <f aca="false">IF(B43="","",IF(P43=0,"",S43*365/P43))</f>
        <v/>
      </c>
      <c r="U43" s="27" t="str">
        <f aca="false">IF(B43="","",IFERROR(S43/INDEX(設定!$C$43:$C$45,MATCH(K43,設定!$B$43:$B$45,0)),""))</f>
        <v/>
      </c>
      <c r="V43" s="7" t="str">
        <f aca="false">IF(B43="","",IF(P43&lt;=設定!$C$6,IF(S43&gt;=設定!$C$7,"I(コア)","II(回転)"),IF(S43&gt;=設定!$C$7,"III(厳選)","IV(見送り)")))</f>
        <v/>
      </c>
      <c r="W43" s="26" t="str">
        <f aca="false">IF(B43="","",IF(L43="在庫中",IF($C$6=0,"",O43/$C$6),""))</f>
        <v/>
      </c>
      <c r="X43" s="21"/>
    </row>
    <row r="44" customFormat="false" ht="15" hidden="false" customHeight="false" outlineLevel="0" collapsed="false">
      <c r="A44" s="18" t="str">
        <f aca="false">IF(B44="","",ROW()-10)</f>
        <v/>
      </c>
      <c r="B44" s="21"/>
      <c r="C44" s="20"/>
      <c r="D44" s="21"/>
      <c r="E44" s="21"/>
      <c r="F44" s="21"/>
      <c r="G44" s="21"/>
      <c r="H44" s="21"/>
      <c r="I44" s="21"/>
      <c r="J44" s="20"/>
      <c r="K44" s="20"/>
      <c r="L44" s="20"/>
      <c r="M44" s="35"/>
      <c r="N44" s="22"/>
      <c r="O44" s="22"/>
      <c r="P44" s="23"/>
      <c r="Q44" s="24" t="str">
        <f aca="false">IF(B44="","",P44*IFERROR(INDEX(設定!$C$43:$C$45,MATCH(K44,設定!$B$43:$B$45,0)),1))</f>
        <v/>
      </c>
      <c r="R44" s="25" t="str">
        <f aca="false">IF(B44="","",O44-N44)</f>
        <v/>
      </c>
      <c r="S44" s="26" t="str">
        <f aca="false">IF(B44="","",IF(N44=0,"",R44/N44))</f>
        <v/>
      </c>
      <c r="T44" s="26" t="str">
        <f aca="false">IF(B44="","",IF(P44=0,"",S44*365/P44))</f>
        <v/>
      </c>
      <c r="U44" s="27" t="str">
        <f aca="false">IF(B44="","",IFERROR(S44/INDEX(設定!$C$43:$C$45,MATCH(K44,設定!$B$43:$B$45,0)),""))</f>
        <v/>
      </c>
      <c r="V44" s="7" t="str">
        <f aca="false">IF(B44="","",IF(P44&lt;=設定!$C$6,IF(S44&gt;=設定!$C$7,"I(コア)","II(回転)"),IF(S44&gt;=設定!$C$7,"III(厳選)","IV(見送り)")))</f>
        <v/>
      </c>
      <c r="W44" s="26" t="str">
        <f aca="false">IF(B44="","",IF(L44="在庫中",IF($C$6=0,"",O44/$C$6),""))</f>
        <v/>
      </c>
      <c r="X44" s="21"/>
    </row>
    <row r="45" customFormat="false" ht="15" hidden="false" customHeight="false" outlineLevel="0" collapsed="false">
      <c r="A45" s="18" t="str">
        <f aca="false">IF(B45="","",ROW()-10)</f>
        <v/>
      </c>
      <c r="B45" s="21"/>
      <c r="C45" s="20"/>
      <c r="D45" s="21"/>
      <c r="E45" s="21"/>
      <c r="F45" s="21"/>
      <c r="G45" s="21"/>
      <c r="H45" s="21"/>
      <c r="I45" s="21"/>
      <c r="J45" s="20"/>
      <c r="K45" s="20"/>
      <c r="L45" s="20"/>
      <c r="M45" s="35"/>
      <c r="N45" s="22"/>
      <c r="O45" s="22"/>
      <c r="P45" s="23"/>
      <c r="Q45" s="24" t="str">
        <f aca="false">IF(B45="","",P45*IFERROR(INDEX(設定!$C$43:$C$45,MATCH(K45,設定!$B$43:$B$45,0)),1))</f>
        <v/>
      </c>
      <c r="R45" s="25" t="str">
        <f aca="false">IF(B45="","",O45-N45)</f>
        <v/>
      </c>
      <c r="S45" s="26" t="str">
        <f aca="false">IF(B45="","",IF(N45=0,"",R45/N45))</f>
        <v/>
      </c>
      <c r="T45" s="26" t="str">
        <f aca="false">IF(B45="","",IF(P45=0,"",S45*365/P45))</f>
        <v/>
      </c>
      <c r="U45" s="27" t="str">
        <f aca="false">IF(B45="","",IFERROR(S45/INDEX(設定!$C$43:$C$45,MATCH(K45,設定!$B$43:$B$45,0)),""))</f>
        <v/>
      </c>
      <c r="V45" s="7" t="str">
        <f aca="false">IF(B45="","",IF(P45&lt;=設定!$C$6,IF(S45&gt;=設定!$C$7,"I(コア)","II(回転)"),IF(S45&gt;=設定!$C$7,"III(厳選)","IV(見送り)")))</f>
        <v/>
      </c>
      <c r="W45" s="26" t="str">
        <f aca="false">IF(B45="","",IF(L45="在庫中",IF($C$6=0,"",O45/$C$6),""))</f>
        <v/>
      </c>
      <c r="X45" s="21"/>
    </row>
    <row r="46" customFormat="false" ht="15" hidden="false" customHeight="false" outlineLevel="0" collapsed="false">
      <c r="A46" s="18" t="str">
        <f aca="false">IF(B46="","",ROW()-10)</f>
        <v/>
      </c>
      <c r="B46" s="21"/>
      <c r="C46" s="20"/>
      <c r="D46" s="21"/>
      <c r="E46" s="21"/>
      <c r="F46" s="21"/>
      <c r="G46" s="21"/>
      <c r="H46" s="21"/>
      <c r="I46" s="21"/>
      <c r="J46" s="20"/>
      <c r="K46" s="20"/>
      <c r="L46" s="20"/>
      <c r="M46" s="35"/>
      <c r="N46" s="22"/>
      <c r="O46" s="22"/>
      <c r="P46" s="23"/>
      <c r="Q46" s="24" t="str">
        <f aca="false">IF(B46="","",P46*IFERROR(INDEX(設定!$C$43:$C$45,MATCH(K46,設定!$B$43:$B$45,0)),1))</f>
        <v/>
      </c>
      <c r="R46" s="25" t="str">
        <f aca="false">IF(B46="","",O46-N46)</f>
        <v/>
      </c>
      <c r="S46" s="26" t="str">
        <f aca="false">IF(B46="","",IF(N46=0,"",R46/N46))</f>
        <v/>
      </c>
      <c r="T46" s="26" t="str">
        <f aca="false">IF(B46="","",IF(P46=0,"",S46*365/P46))</f>
        <v/>
      </c>
      <c r="U46" s="27" t="str">
        <f aca="false">IF(B46="","",IFERROR(S46/INDEX(設定!$C$43:$C$45,MATCH(K46,設定!$B$43:$B$45,0)),""))</f>
        <v/>
      </c>
      <c r="V46" s="7" t="str">
        <f aca="false">IF(B46="","",IF(P46&lt;=設定!$C$6,IF(S46&gt;=設定!$C$7,"I(コア)","II(回転)"),IF(S46&gt;=設定!$C$7,"III(厳選)","IV(見送り)")))</f>
        <v/>
      </c>
      <c r="W46" s="26" t="str">
        <f aca="false">IF(B46="","",IF(L46="在庫中",IF($C$6=0,"",O46/$C$6),""))</f>
        <v/>
      </c>
      <c r="X46" s="21"/>
    </row>
    <row r="47" customFormat="false" ht="15" hidden="false" customHeight="false" outlineLevel="0" collapsed="false">
      <c r="A47" s="18" t="str">
        <f aca="false">IF(B47="","",ROW()-10)</f>
        <v/>
      </c>
      <c r="B47" s="21"/>
      <c r="C47" s="20"/>
      <c r="D47" s="21"/>
      <c r="E47" s="21"/>
      <c r="F47" s="21"/>
      <c r="G47" s="21"/>
      <c r="H47" s="21"/>
      <c r="I47" s="21"/>
      <c r="J47" s="20"/>
      <c r="K47" s="20"/>
      <c r="L47" s="20"/>
      <c r="M47" s="35"/>
      <c r="N47" s="22"/>
      <c r="O47" s="22"/>
      <c r="P47" s="23"/>
      <c r="Q47" s="24" t="str">
        <f aca="false">IF(B47="","",P47*IFERROR(INDEX(設定!$C$43:$C$45,MATCH(K47,設定!$B$43:$B$45,0)),1))</f>
        <v/>
      </c>
      <c r="R47" s="25" t="str">
        <f aca="false">IF(B47="","",O47-N47)</f>
        <v/>
      </c>
      <c r="S47" s="26" t="str">
        <f aca="false">IF(B47="","",IF(N47=0,"",R47/N47))</f>
        <v/>
      </c>
      <c r="T47" s="26" t="str">
        <f aca="false">IF(B47="","",IF(P47=0,"",S47*365/P47))</f>
        <v/>
      </c>
      <c r="U47" s="27" t="str">
        <f aca="false">IF(B47="","",IFERROR(S47/INDEX(設定!$C$43:$C$45,MATCH(K47,設定!$B$43:$B$45,0)),""))</f>
        <v/>
      </c>
      <c r="V47" s="7" t="str">
        <f aca="false">IF(B47="","",IF(P47&lt;=設定!$C$6,IF(S47&gt;=設定!$C$7,"I(コア)","II(回転)"),IF(S47&gt;=設定!$C$7,"III(厳選)","IV(見送り)")))</f>
        <v/>
      </c>
      <c r="W47" s="26" t="str">
        <f aca="false">IF(B47="","",IF(L47="在庫中",IF($C$6=0,"",O47/$C$6),""))</f>
        <v/>
      </c>
      <c r="X47" s="21"/>
    </row>
    <row r="48" customFormat="false" ht="15" hidden="false" customHeight="false" outlineLevel="0" collapsed="false">
      <c r="A48" s="18" t="str">
        <f aca="false">IF(B48="","",ROW()-10)</f>
        <v/>
      </c>
      <c r="B48" s="21"/>
      <c r="C48" s="20"/>
      <c r="D48" s="21"/>
      <c r="E48" s="21"/>
      <c r="F48" s="21"/>
      <c r="G48" s="21"/>
      <c r="H48" s="21"/>
      <c r="I48" s="21"/>
      <c r="J48" s="20"/>
      <c r="K48" s="20"/>
      <c r="L48" s="20"/>
      <c r="M48" s="35"/>
      <c r="N48" s="22"/>
      <c r="O48" s="22"/>
      <c r="P48" s="23"/>
      <c r="Q48" s="24" t="str">
        <f aca="false">IF(B48="","",P48*IFERROR(INDEX(設定!$C$43:$C$45,MATCH(K48,設定!$B$43:$B$45,0)),1))</f>
        <v/>
      </c>
      <c r="R48" s="25" t="str">
        <f aca="false">IF(B48="","",O48-N48)</f>
        <v/>
      </c>
      <c r="S48" s="26" t="str">
        <f aca="false">IF(B48="","",IF(N48=0,"",R48/N48))</f>
        <v/>
      </c>
      <c r="T48" s="26" t="str">
        <f aca="false">IF(B48="","",IF(P48=0,"",S48*365/P48))</f>
        <v/>
      </c>
      <c r="U48" s="27" t="str">
        <f aca="false">IF(B48="","",IFERROR(S48/INDEX(設定!$C$43:$C$45,MATCH(K48,設定!$B$43:$B$45,0)),""))</f>
        <v/>
      </c>
      <c r="V48" s="7" t="str">
        <f aca="false">IF(B48="","",IF(P48&lt;=設定!$C$6,IF(S48&gt;=設定!$C$7,"I(コア)","II(回転)"),IF(S48&gt;=設定!$C$7,"III(厳選)","IV(見送り)")))</f>
        <v/>
      </c>
      <c r="W48" s="26" t="str">
        <f aca="false">IF(B48="","",IF(L48="在庫中",IF($C$6=0,"",O48/$C$6),""))</f>
        <v/>
      </c>
      <c r="X48" s="21"/>
    </row>
    <row r="49" customFormat="false" ht="15" hidden="false" customHeight="false" outlineLevel="0" collapsed="false">
      <c r="A49" s="18" t="str">
        <f aca="false">IF(B49="","",ROW()-10)</f>
        <v/>
      </c>
      <c r="B49" s="21"/>
      <c r="C49" s="20"/>
      <c r="D49" s="21"/>
      <c r="E49" s="21"/>
      <c r="F49" s="21"/>
      <c r="G49" s="21"/>
      <c r="H49" s="21"/>
      <c r="I49" s="21"/>
      <c r="J49" s="20"/>
      <c r="K49" s="20"/>
      <c r="L49" s="20"/>
      <c r="M49" s="35"/>
      <c r="N49" s="22"/>
      <c r="O49" s="22"/>
      <c r="P49" s="23"/>
      <c r="Q49" s="24" t="str">
        <f aca="false">IF(B49="","",P49*IFERROR(INDEX(設定!$C$43:$C$45,MATCH(K49,設定!$B$43:$B$45,0)),1))</f>
        <v/>
      </c>
      <c r="R49" s="25" t="str">
        <f aca="false">IF(B49="","",O49-N49)</f>
        <v/>
      </c>
      <c r="S49" s="26" t="str">
        <f aca="false">IF(B49="","",IF(N49=0,"",R49/N49))</f>
        <v/>
      </c>
      <c r="T49" s="26" t="str">
        <f aca="false">IF(B49="","",IF(P49=0,"",S49*365/P49))</f>
        <v/>
      </c>
      <c r="U49" s="27" t="str">
        <f aca="false">IF(B49="","",IFERROR(S49/INDEX(設定!$C$43:$C$45,MATCH(K49,設定!$B$43:$B$45,0)),""))</f>
        <v/>
      </c>
      <c r="V49" s="7" t="str">
        <f aca="false">IF(B49="","",IF(P49&lt;=設定!$C$6,IF(S49&gt;=設定!$C$7,"I(コア)","II(回転)"),IF(S49&gt;=設定!$C$7,"III(厳選)","IV(見送り)")))</f>
        <v/>
      </c>
      <c r="W49" s="26" t="str">
        <f aca="false">IF(B49="","",IF(L49="在庫中",IF($C$6=0,"",O49/$C$6),""))</f>
        <v/>
      </c>
      <c r="X49" s="21"/>
    </row>
    <row r="50" customFormat="false" ht="15" hidden="false" customHeight="false" outlineLevel="0" collapsed="false">
      <c r="A50" s="18" t="str">
        <f aca="false">IF(B50="","",ROW()-10)</f>
        <v/>
      </c>
      <c r="B50" s="21"/>
      <c r="C50" s="20"/>
      <c r="D50" s="21"/>
      <c r="E50" s="21"/>
      <c r="F50" s="21"/>
      <c r="G50" s="21"/>
      <c r="H50" s="21"/>
      <c r="I50" s="21"/>
      <c r="J50" s="20"/>
      <c r="K50" s="20"/>
      <c r="L50" s="20"/>
      <c r="M50" s="35"/>
      <c r="N50" s="22"/>
      <c r="O50" s="22"/>
      <c r="P50" s="23"/>
      <c r="Q50" s="24" t="str">
        <f aca="false">IF(B50="","",P50*IFERROR(INDEX(設定!$C$43:$C$45,MATCH(K50,設定!$B$43:$B$45,0)),1))</f>
        <v/>
      </c>
      <c r="R50" s="25" t="str">
        <f aca="false">IF(B50="","",O50-N50)</f>
        <v/>
      </c>
      <c r="S50" s="26" t="str">
        <f aca="false">IF(B50="","",IF(N50=0,"",R50/N50))</f>
        <v/>
      </c>
      <c r="T50" s="26" t="str">
        <f aca="false">IF(B50="","",IF(P50=0,"",S50*365/P50))</f>
        <v/>
      </c>
      <c r="U50" s="27" t="str">
        <f aca="false">IF(B50="","",IFERROR(S50/INDEX(設定!$C$43:$C$45,MATCH(K50,設定!$B$43:$B$45,0)),""))</f>
        <v/>
      </c>
      <c r="V50" s="7" t="str">
        <f aca="false">IF(B50="","",IF(P50&lt;=設定!$C$6,IF(S50&gt;=設定!$C$7,"I(コア)","II(回転)"),IF(S50&gt;=設定!$C$7,"III(厳選)","IV(見送り)")))</f>
        <v/>
      </c>
      <c r="W50" s="26" t="str">
        <f aca="false">IF(B50="","",IF(L50="在庫中",IF($C$6=0,"",O50/$C$6),""))</f>
        <v/>
      </c>
      <c r="X50" s="21"/>
    </row>
    <row r="51" customFormat="false" ht="15" hidden="false" customHeight="false" outlineLevel="0" collapsed="false">
      <c r="A51" s="18" t="str">
        <f aca="false">IF(B51="","",ROW()-10)</f>
        <v/>
      </c>
      <c r="B51" s="21"/>
      <c r="C51" s="20"/>
      <c r="D51" s="21"/>
      <c r="E51" s="21"/>
      <c r="F51" s="21"/>
      <c r="G51" s="21"/>
      <c r="H51" s="21"/>
      <c r="I51" s="21"/>
      <c r="J51" s="20"/>
      <c r="K51" s="20"/>
      <c r="L51" s="20"/>
      <c r="M51" s="35"/>
      <c r="N51" s="22"/>
      <c r="O51" s="22"/>
      <c r="P51" s="23"/>
      <c r="Q51" s="24" t="str">
        <f aca="false">IF(B51="","",P51*IFERROR(INDEX(設定!$C$43:$C$45,MATCH(K51,設定!$B$43:$B$45,0)),1))</f>
        <v/>
      </c>
      <c r="R51" s="25" t="str">
        <f aca="false">IF(B51="","",O51-N51)</f>
        <v/>
      </c>
      <c r="S51" s="26" t="str">
        <f aca="false">IF(B51="","",IF(N51=0,"",R51/N51))</f>
        <v/>
      </c>
      <c r="T51" s="26" t="str">
        <f aca="false">IF(B51="","",IF(P51=0,"",S51*365/P51))</f>
        <v/>
      </c>
      <c r="U51" s="27" t="str">
        <f aca="false">IF(B51="","",IFERROR(S51/INDEX(設定!$C$43:$C$45,MATCH(K51,設定!$B$43:$B$45,0)),""))</f>
        <v/>
      </c>
      <c r="V51" s="7" t="str">
        <f aca="false">IF(B51="","",IF(P51&lt;=設定!$C$6,IF(S51&gt;=設定!$C$7,"I(コア)","II(回転)"),IF(S51&gt;=設定!$C$7,"III(厳選)","IV(見送り)")))</f>
        <v/>
      </c>
      <c r="W51" s="26" t="str">
        <f aca="false">IF(B51="","",IF(L51="在庫中",IF($C$6=0,"",O51/$C$6),""))</f>
        <v/>
      </c>
      <c r="X51" s="21"/>
    </row>
    <row r="52" customFormat="false" ht="15" hidden="false" customHeight="false" outlineLevel="0" collapsed="false">
      <c r="A52" s="18" t="str">
        <f aca="false">IF(B52="","",ROW()-10)</f>
        <v/>
      </c>
      <c r="B52" s="21"/>
      <c r="C52" s="20"/>
      <c r="D52" s="21"/>
      <c r="E52" s="21"/>
      <c r="F52" s="21"/>
      <c r="G52" s="21"/>
      <c r="H52" s="21"/>
      <c r="I52" s="21"/>
      <c r="J52" s="20"/>
      <c r="K52" s="20"/>
      <c r="L52" s="20"/>
      <c r="M52" s="35"/>
      <c r="N52" s="22"/>
      <c r="O52" s="22"/>
      <c r="P52" s="23"/>
      <c r="Q52" s="24" t="str">
        <f aca="false">IF(B52="","",P52*IFERROR(INDEX(設定!$C$43:$C$45,MATCH(K52,設定!$B$43:$B$45,0)),1))</f>
        <v/>
      </c>
      <c r="R52" s="25" t="str">
        <f aca="false">IF(B52="","",O52-N52)</f>
        <v/>
      </c>
      <c r="S52" s="26" t="str">
        <f aca="false">IF(B52="","",IF(N52=0,"",R52/N52))</f>
        <v/>
      </c>
      <c r="T52" s="26" t="str">
        <f aca="false">IF(B52="","",IF(P52=0,"",S52*365/P52))</f>
        <v/>
      </c>
      <c r="U52" s="27" t="str">
        <f aca="false">IF(B52="","",IFERROR(S52/INDEX(設定!$C$43:$C$45,MATCH(K52,設定!$B$43:$B$45,0)),""))</f>
        <v/>
      </c>
      <c r="V52" s="7" t="str">
        <f aca="false">IF(B52="","",IF(P52&lt;=設定!$C$6,IF(S52&gt;=設定!$C$7,"I(コア)","II(回転)"),IF(S52&gt;=設定!$C$7,"III(厳選)","IV(見送り)")))</f>
        <v/>
      </c>
      <c r="W52" s="26" t="str">
        <f aca="false">IF(B52="","",IF(L52="在庫中",IF($C$6=0,"",O52/$C$6),""))</f>
        <v/>
      </c>
      <c r="X52" s="21"/>
    </row>
    <row r="53" customFormat="false" ht="15" hidden="false" customHeight="false" outlineLevel="0" collapsed="false">
      <c r="A53" s="18" t="str">
        <f aca="false">IF(B53="","",ROW()-10)</f>
        <v/>
      </c>
      <c r="B53" s="21"/>
      <c r="C53" s="20"/>
      <c r="D53" s="21"/>
      <c r="E53" s="21"/>
      <c r="F53" s="21"/>
      <c r="G53" s="21"/>
      <c r="H53" s="21"/>
      <c r="I53" s="21"/>
      <c r="J53" s="20"/>
      <c r="K53" s="20"/>
      <c r="L53" s="20"/>
      <c r="M53" s="35"/>
      <c r="N53" s="22"/>
      <c r="O53" s="22"/>
      <c r="P53" s="23"/>
      <c r="Q53" s="24" t="str">
        <f aca="false">IF(B53="","",P53*IFERROR(INDEX(設定!$C$43:$C$45,MATCH(K53,設定!$B$43:$B$45,0)),1))</f>
        <v/>
      </c>
      <c r="R53" s="25" t="str">
        <f aca="false">IF(B53="","",O53-N53)</f>
        <v/>
      </c>
      <c r="S53" s="26" t="str">
        <f aca="false">IF(B53="","",IF(N53=0,"",R53/N53))</f>
        <v/>
      </c>
      <c r="T53" s="26" t="str">
        <f aca="false">IF(B53="","",IF(P53=0,"",S53*365/P53))</f>
        <v/>
      </c>
      <c r="U53" s="27" t="str">
        <f aca="false">IF(B53="","",IFERROR(S53/INDEX(設定!$C$43:$C$45,MATCH(K53,設定!$B$43:$B$45,0)),""))</f>
        <v/>
      </c>
      <c r="V53" s="7" t="str">
        <f aca="false">IF(B53="","",IF(P53&lt;=設定!$C$6,IF(S53&gt;=設定!$C$7,"I(コア)","II(回転)"),IF(S53&gt;=設定!$C$7,"III(厳選)","IV(見送り)")))</f>
        <v/>
      </c>
      <c r="W53" s="26" t="str">
        <f aca="false">IF(B53="","",IF(L53="在庫中",IF($C$6=0,"",O53/$C$6),""))</f>
        <v/>
      </c>
      <c r="X53" s="21"/>
    </row>
    <row r="54" customFormat="false" ht="15" hidden="false" customHeight="false" outlineLevel="0" collapsed="false">
      <c r="A54" s="18" t="str">
        <f aca="false">IF(B54="","",ROW()-10)</f>
        <v/>
      </c>
      <c r="B54" s="21"/>
      <c r="C54" s="20"/>
      <c r="D54" s="21"/>
      <c r="E54" s="21"/>
      <c r="F54" s="21"/>
      <c r="G54" s="21"/>
      <c r="H54" s="21"/>
      <c r="I54" s="21"/>
      <c r="J54" s="20"/>
      <c r="K54" s="20"/>
      <c r="L54" s="20"/>
      <c r="M54" s="35"/>
      <c r="N54" s="22"/>
      <c r="O54" s="22"/>
      <c r="P54" s="23"/>
      <c r="Q54" s="24" t="str">
        <f aca="false">IF(B54="","",P54*IFERROR(INDEX(設定!$C$43:$C$45,MATCH(K54,設定!$B$43:$B$45,0)),1))</f>
        <v/>
      </c>
      <c r="R54" s="25" t="str">
        <f aca="false">IF(B54="","",O54-N54)</f>
        <v/>
      </c>
      <c r="S54" s="26" t="str">
        <f aca="false">IF(B54="","",IF(N54=0,"",R54/N54))</f>
        <v/>
      </c>
      <c r="T54" s="26" t="str">
        <f aca="false">IF(B54="","",IF(P54=0,"",S54*365/P54))</f>
        <v/>
      </c>
      <c r="U54" s="27" t="str">
        <f aca="false">IF(B54="","",IFERROR(S54/INDEX(設定!$C$43:$C$45,MATCH(K54,設定!$B$43:$B$45,0)),""))</f>
        <v/>
      </c>
      <c r="V54" s="7" t="str">
        <f aca="false">IF(B54="","",IF(P54&lt;=設定!$C$6,IF(S54&gt;=設定!$C$7,"I(コア)","II(回転)"),IF(S54&gt;=設定!$C$7,"III(厳選)","IV(見送り)")))</f>
        <v/>
      </c>
      <c r="W54" s="26" t="str">
        <f aca="false">IF(B54="","",IF(L54="在庫中",IF($C$6=0,"",O54/$C$6),""))</f>
        <v/>
      </c>
      <c r="X54" s="21"/>
    </row>
    <row r="55" customFormat="false" ht="15" hidden="false" customHeight="false" outlineLevel="0" collapsed="false">
      <c r="A55" s="18" t="str">
        <f aca="false">IF(B55="","",ROW()-10)</f>
        <v/>
      </c>
      <c r="B55" s="21"/>
      <c r="C55" s="20"/>
      <c r="D55" s="21"/>
      <c r="E55" s="21"/>
      <c r="F55" s="21"/>
      <c r="G55" s="21"/>
      <c r="H55" s="21"/>
      <c r="I55" s="21"/>
      <c r="J55" s="20"/>
      <c r="K55" s="20"/>
      <c r="L55" s="20"/>
      <c r="M55" s="35"/>
      <c r="N55" s="22"/>
      <c r="O55" s="22"/>
      <c r="P55" s="23"/>
      <c r="Q55" s="24" t="str">
        <f aca="false">IF(B55="","",P55*IFERROR(INDEX(設定!$C$43:$C$45,MATCH(K55,設定!$B$43:$B$45,0)),1))</f>
        <v/>
      </c>
      <c r="R55" s="25" t="str">
        <f aca="false">IF(B55="","",O55-N55)</f>
        <v/>
      </c>
      <c r="S55" s="26" t="str">
        <f aca="false">IF(B55="","",IF(N55=0,"",R55/N55))</f>
        <v/>
      </c>
      <c r="T55" s="26" t="str">
        <f aca="false">IF(B55="","",IF(P55=0,"",S55*365/P55))</f>
        <v/>
      </c>
      <c r="U55" s="27" t="str">
        <f aca="false">IF(B55="","",IFERROR(S55/INDEX(設定!$C$43:$C$45,MATCH(K55,設定!$B$43:$B$45,0)),""))</f>
        <v/>
      </c>
      <c r="V55" s="7" t="str">
        <f aca="false">IF(B55="","",IF(P55&lt;=設定!$C$6,IF(S55&gt;=設定!$C$7,"I(コア)","II(回転)"),IF(S55&gt;=設定!$C$7,"III(厳選)","IV(見送り)")))</f>
        <v/>
      </c>
      <c r="W55" s="26" t="str">
        <f aca="false">IF(B55="","",IF(L55="在庫中",IF($C$6=0,"",O55/$C$6),""))</f>
        <v/>
      </c>
      <c r="X55" s="21"/>
    </row>
    <row r="56" customFormat="false" ht="15" hidden="false" customHeight="false" outlineLevel="0" collapsed="false">
      <c r="A56" s="18" t="str">
        <f aca="false">IF(B56="","",ROW()-10)</f>
        <v/>
      </c>
      <c r="B56" s="21"/>
      <c r="C56" s="20"/>
      <c r="D56" s="21"/>
      <c r="E56" s="21"/>
      <c r="F56" s="21"/>
      <c r="G56" s="21"/>
      <c r="H56" s="21"/>
      <c r="I56" s="21"/>
      <c r="J56" s="20"/>
      <c r="K56" s="20"/>
      <c r="L56" s="20"/>
      <c r="M56" s="35"/>
      <c r="N56" s="22"/>
      <c r="O56" s="22"/>
      <c r="P56" s="23"/>
      <c r="Q56" s="24" t="str">
        <f aca="false">IF(B56="","",P56*IFERROR(INDEX(設定!$C$43:$C$45,MATCH(K56,設定!$B$43:$B$45,0)),1))</f>
        <v/>
      </c>
      <c r="R56" s="25" t="str">
        <f aca="false">IF(B56="","",O56-N56)</f>
        <v/>
      </c>
      <c r="S56" s="26" t="str">
        <f aca="false">IF(B56="","",IF(N56=0,"",R56/N56))</f>
        <v/>
      </c>
      <c r="T56" s="26" t="str">
        <f aca="false">IF(B56="","",IF(P56=0,"",S56*365/P56))</f>
        <v/>
      </c>
      <c r="U56" s="27" t="str">
        <f aca="false">IF(B56="","",IFERROR(S56/INDEX(設定!$C$43:$C$45,MATCH(K56,設定!$B$43:$B$45,0)),""))</f>
        <v/>
      </c>
      <c r="V56" s="7" t="str">
        <f aca="false">IF(B56="","",IF(P56&lt;=設定!$C$6,IF(S56&gt;=設定!$C$7,"I(コア)","II(回転)"),IF(S56&gt;=設定!$C$7,"III(厳選)","IV(見送り)")))</f>
        <v/>
      </c>
      <c r="W56" s="26" t="str">
        <f aca="false">IF(B56="","",IF(L56="在庫中",IF($C$6=0,"",O56/$C$6),""))</f>
        <v/>
      </c>
      <c r="X56" s="21"/>
    </row>
    <row r="57" customFormat="false" ht="15" hidden="false" customHeight="false" outlineLevel="0" collapsed="false">
      <c r="A57" s="18" t="str">
        <f aca="false">IF(B57="","",ROW()-10)</f>
        <v/>
      </c>
      <c r="B57" s="21"/>
      <c r="C57" s="20"/>
      <c r="D57" s="21"/>
      <c r="E57" s="21"/>
      <c r="F57" s="21"/>
      <c r="G57" s="21"/>
      <c r="H57" s="21"/>
      <c r="I57" s="21"/>
      <c r="J57" s="20"/>
      <c r="K57" s="20"/>
      <c r="L57" s="20"/>
      <c r="M57" s="35"/>
      <c r="N57" s="22"/>
      <c r="O57" s="22"/>
      <c r="P57" s="23"/>
      <c r="Q57" s="24" t="str">
        <f aca="false">IF(B57="","",P57*IFERROR(INDEX(設定!$C$43:$C$45,MATCH(K57,設定!$B$43:$B$45,0)),1))</f>
        <v/>
      </c>
      <c r="R57" s="25" t="str">
        <f aca="false">IF(B57="","",O57-N57)</f>
        <v/>
      </c>
      <c r="S57" s="26" t="str">
        <f aca="false">IF(B57="","",IF(N57=0,"",R57/N57))</f>
        <v/>
      </c>
      <c r="T57" s="26" t="str">
        <f aca="false">IF(B57="","",IF(P57=0,"",S57*365/P57))</f>
        <v/>
      </c>
      <c r="U57" s="27" t="str">
        <f aca="false">IF(B57="","",IFERROR(S57/INDEX(設定!$C$43:$C$45,MATCH(K57,設定!$B$43:$B$45,0)),""))</f>
        <v/>
      </c>
      <c r="V57" s="7" t="str">
        <f aca="false">IF(B57="","",IF(P57&lt;=設定!$C$6,IF(S57&gt;=設定!$C$7,"I(コア)","II(回転)"),IF(S57&gt;=設定!$C$7,"III(厳選)","IV(見送り)")))</f>
        <v/>
      </c>
      <c r="W57" s="26" t="str">
        <f aca="false">IF(B57="","",IF(L57="在庫中",IF($C$6=0,"",O57/$C$6),""))</f>
        <v/>
      </c>
      <c r="X57" s="21"/>
    </row>
    <row r="58" customFormat="false" ht="15" hidden="false" customHeight="false" outlineLevel="0" collapsed="false">
      <c r="A58" s="18" t="str">
        <f aca="false">IF(B58="","",ROW()-10)</f>
        <v/>
      </c>
      <c r="B58" s="21"/>
      <c r="C58" s="20"/>
      <c r="D58" s="21"/>
      <c r="E58" s="21"/>
      <c r="F58" s="21"/>
      <c r="G58" s="21"/>
      <c r="H58" s="21"/>
      <c r="I58" s="21"/>
      <c r="J58" s="20"/>
      <c r="K58" s="20"/>
      <c r="L58" s="20"/>
      <c r="M58" s="35"/>
      <c r="N58" s="22"/>
      <c r="O58" s="22"/>
      <c r="P58" s="23"/>
      <c r="Q58" s="24" t="str">
        <f aca="false">IF(B58="","",P58*IFERROR(INDEX(設定!$C$43:$C$45,MATCH(K58,設定!$B$43:$B$45,0)),1))</f>
        <v/>
      </c>
      <c r="R58" s="25" t="str">
        <f aca="false">IF(B58="","",O58-N58)</f>
        <v/>
      </c>
      <c r="S58" s="26" t="str">
        <f aca="false">IF(B58="","",IF(N58=0,"",R58/N58))</f>
        <v/>
      </c>
      <c r="T58" s="26" t="str">
        <f aca="false">IF(B58="","",IF(P58=0,"",S58*365/P58))</f>
        <v/>
      </c>
      <c r="U58" s="27" t="str">
        <f aca="false">IF(B58="","",IFERROR(S58/INDEX(設定!$C$43:$C$45,MATCH(K58,設定!$B$43:$B$45,0)),""))</f>
        <v/>
      </c>
      <c r="V58" s="7" t="str">
        <f aca="false">IF(B58="","",IF(P58&lt;=設定!$C$6,IF(S58&gt;=設定!$C$7,"I(コア)","II(回転)"),IF(S58&gt;=設定!$C$7,"III(厳選)","IV(見送り)")))</f>
        <v/>
      </c>
      <c r="W58" s="26" t="str">
        <f aca="false">IF(B58="","",IF(L58="在庫中",IF($C$6=0,"",O58/$C$6),""))</f>
        <v/>
      </c>
      <c r="X58" s="21"/>
    </row>
    <row r="59" customFormat="false" ht="15" hidden="false" customHeight="false" outlineLevel="0" collapsed="false">
      <c r="A59" s="18" t="str">
        <f aca="false">IF(B59="","",ROW()-10)</f>
        <v/>
      </c>
      <c r="B59" s="21"/>
      <c r="C59" s="20"/>
      <c r="D59" s="21"/>
      <c r="E59" s="21"/>
      <c r="F59" s="21"/>
      <c r="G59" s="21"/>
      <c r="H59" s="21"/>
      <c r="I59" s="21"/>
      <c r="J59" s="20"/>
      <c r="K59" s="20"/>
      <c r="L59" s="20"/>
      <c r="M59" s="35"/>
      <c r="N59" s="22"/>
      <c r="O59" s="22"/>
      <c r="P59" s="23"/>
      <c r="Q59" s="24" t="str">
        <f aca="false">IF(B59="","",P59*IFERROR(INDEX(設定!$C$43:$C$45,MATCH(K59,設定!$B$43:$B$45,0)),1))</f>
        <v/>
      </c>
      <c r="R59" s="25" t="str">
        <f aca="false">IF(B59="","",O59-N59)</f>
        <v/>
      </c>
      <c r="S59" s="26" t="str">
        <f aca="false">IF(B59="","",IF(N59=0,"",R59/N59))</f>
        <v/>
      </c>
      <c r="T59" s="26" t="str">
        <f aca="false">IF(B59="","",IF(P59=0,"",S59*365/P59))</f>
        <v/>
      </c>
      <c r="U59" s="27" t="str">
        <f aca="false">IF(B59="","",IFERROR(S59/INDEX(設定!$C$43:$C$45,MATCH(K59,設定!$B$43:$B$45,0)),""))</f>
        <v/>
      </c>
      <c r="V59" s="7" t="str">
        <f aca="false">IF(B59="","",IF(P59&lt;=設定!$C$6,IF(S59&gt;=設定!$C$7,"I(コア)","II(回転)"),IF(S59&gt;=設定!$C$7,"III(厳選)","IV(見送り)")))</f>
        <v/>
      </c>
      <c r="W59" s="26" t="str">
        <f aca="false">IF(B59="","",IF(L59="在庫中",IF($C$6=0,"",O59/$C$6),""))</f>
        <v/>
      </c>
      <c r="X59" s="21"/>
    </row>
    <row r="60" customFormat="false" ht="15" hidden="false" customHeight="false" outlineLevel="0" collapsed="false">
      <c r="A60" s="18" t="str">
        <f aca="false">IF(B60="","",ROW()-10)</f>
        <v/>
      </c>
      <c r="B60" s="21"/>
      <c r="C60" s="20"/>
      <c r="D60" s="21"/>
      <c r="E60" s="21"/>
      <c r="F60" s="21"/>
      <c r="G60" s="21"/>
      <c r="H60" s="21"/>
      <c r="I60" s="21"/>
      <c r="J60" s="20"/>
      <c r="K60" s="20"/>
      <c r="L60" s="20"/>
      <c r="M60" s="35"/>
      <c r="N60" s="22"/>
      <c r="O60" s="22"/>
      <c r="P60" s="23"/>
      <c r="Q60" s="24" t="str">
        <f aca="false">IF(B60="","",P60*IFERROR(INDEX(設定!$C$43:$C$45,MATCH(K60,設定!$B$43:$B$45,0)),1))</f>
        <v/>
      </c>
      <c r="R60" s="25" t="str">
        <f aca="false">IF(B60="","",O60-N60)</f>
        <v/>
      </c>
      <c r="S60" s="26" t="str">
        <f aca="false">IF(B60="","",IF(N60=0,"",R60/N60))</f>
        <v/>
      </c>
      <c r="T60" s="26" t="str">
        <f aca="false">IF(B60="","",IF(P60=0,"",S60*365/P60))</f>
        <v/>
      </c>
      <c r="U60" s="27" t="str">
        <f aca="false">IF(B60="","",IFERROR(S60/INDEX(設定!$C$43:$C$45,MATCH(K60,設定!$B$43:$B$45,0)),""))</f>
        <v/>
      </c>
      <c r="V60" s="7" t="str">
        <f aca="false">IF(B60="","",IF(P60&lt;=設定!$C$6,IF(S60&gt;=設定!$C$7,"I(コア)","II(回転)"),IF(S60&gt;=設定!$C$7,"III(厳選)","IV(見送り)")))</f>
        <v/>
      </c>
      <c r="W60" s="26" t="str">
        <f aca="false">IF(B60="","",IF(L60="在庫中",IF($C$6=0,"",O60/$C$6),""))</f>
        <v/>
      </c>
      <c r="X60" s="21"/>
    </row>
    <row r="61" customFormat="false" ht="15" hidden="false" customHeight="false" outlineLevel="0" collapsed="false">
      <c r="A61" s="18" t="str">
        <f aca="false">IF(B61="","",ROW()-10)</f>
        <v/>
      </c>
      <c r="B61" s="21"/>
      <c r="C61" s="20"/>
      <c r="D61" s="21"/>
      <c r="E61" s="21"/>
      <c r="F61" s="21"/>
      <c r="G61" s="21"/>
      <c r="H61" s="21"/>
      <c r="I61" s="21"/>
      <c r="J61" s="20"/>
      <c r="K61" s="20"/>
      <c r="L61" s="20"/>
      <c r="M61" s="35"/>
      <c r="N61" s="22"/>
      <c r="O61" s="22"/>
      <c r="P61" s="23"/>
      <c r="Q61" s="24" t="str">
        <f aca="false">IF(B61="","",P61*IFERROR(INDEX(設定!$C$43:$C$45,MATCH(K61,設定!$B$43:$B$45,0)),1))</f>
        <v/>
      </c>
      <c r="R61" s="25" t="str">
        <f aca="false">IF(B61="","",O61-N61)</f>
        <v/>
      </c>
      <c r="S61" s="26" t="str">
        <f aca="false">IF(B61="","",IF(N61=0,"",R61/N61))</f>
        <v/>
      </c>
      <c r="T61" s="26" t="str">
        <f aca="false">IF(B61="","",IF(P61=0,"",S61*365/P61))</f>
        <v/>
      </c>
      <c r="U61" s="27" t="str">
        <f aca="false">IF(B61="","",IFERROR(S61/INDEX(設定!$C$43:$C$45,MATCH(K61,設定!$B$43:$B$45,0)),""))</f>
        <v/>
      </c>
      <c r="V61" s="7" t="str">
        <f aca="false">IF(B61="","",IF(P61&lt;=設定!$C$6,IF(S61&gt;=設定!$C$7,"I(コア)","II(回転)"),IF(S61&gt;=設定!$C$7,"III(厳選)","IV(見送り)")))</f>
        <v/>
      </c>
      <c r="W61" s="26" t="str">
        <f aca="false">IF(B61="","",IF(L61="在庫中",IF($C$6=0,"",O61/$C$6),""))</f>
        <v/>
      </c>
      <c r="X61" s="21"/>
    </row>
    <row r="62" customFormat="false" ht="15" hidden="false" customHeight="false" outlineLevel="0" collapsed="false">
      <c r="A62" s="18" t="str">
        <f aca="false">IF(B62="","",ROW()-10)</f>
        <v/>
      </c>
      <c r="B62" s="21"/>
      <c r="C62" s="20"/>
      <c r="D62" s="21"/>
      <c r="E62" s="21"/>
      <c r="F62" s="21"/>
      <c r="G62" s="21"/>
      <c r="H62" s="21"/>
      <c r="I62" s="21"/>
      <c r="J62" s="20"/>
      <c r="K62" s="20"/>
      <c r="L62" s="20"/>
      <c r="M62" s="35"/>
      <c r="N62" s="22"/>
      <c r="O62" s="22"/>
      <c r="P62" s="23"/>
      <c r="Q62" s="24" t="str">
        <f aca="false">IF(B62="","",P62*IFERROR(INDEX(設定!$C$43:$C$45,MATCH(K62,設定!$B$43:$B$45,0)),1))</f>
        <v/>
      </c>
      <c r="R62" s="25" t="str">
        <f aca="false">IF(B62="","",O62-N62)</f>
        <v/>
      </c>
      <c r="S62" s="26" t="str">
        <f aca="false">IF(B62="","",IF(N62=0,"",R62/N62))</f>
        <v/>
      </c>
      <c r="T62" s="26" t="str">
        <f aca="false">IF(B62="","",IF(P62=0,"",S62*365/P62))</f>
        <v/>
      </c>
      <c r="U62" s="27" t="str">
        <f aca="false">IF(B62="","",IFERROR(S62/INDEX(設定!$C$43:$C$45,MATCH(K62,設定!$B$43:$B$45,0)),""))</f>
        <v/>
      </c>
      <c r="V62" s="7" t="str">
        <f aca="false">IF(B62="","",IF(P62&lt;=設定!$C$6,IF(S62&gt;=設定!$C$7,"I(コア)","II(回転)"),IF(S62&gt;=設定!$C$7,"III(厳選)","IV(見送り)")))</f>
        <v/>
      </c>
      <c r="W62" s="26" t="str">
        <f aca="false">IF(B62="","",IF(L62="在庫中",IF($C$6=0,"",O62/$C$6),""))</f>
        <v/>
      </c>
      <c r="X62" s="21"/>
    </row>
    <row r="63" customFormat="false" ht="15" hidden="false" customHeight="false" outlineLevel="0" collapsed="false">
      <c r="A63" s="18" t="str">
        <f aca="false">IF(B63="","",ROW()-10)</f>
        <v/>
      </c>
      <c r="B63" s="21"/>
      <c r="C63" s="20"/>
      <c r="D63" s="21"/>
      <c r="E63" s="21"/>
      <c r="F63" s="21"/>
      <c r="G63" s="21"/>
      <c r="H63" s="21"/>
      <c r="I63" s="21"/>
      <c r="J63" s="20"/>
      <c r="K63" s="20"/>
      <c r="L63" s="20"/>
      <c r="M63" s="35"/>
      <c r="N63" s="22"/>
      <c r="O63" s="22"/>
      <c r="P63" s="23"/>
      <c r="Q63" s="24" t="str">
        <f aca="false">IF(B63="","",P63*IFERROR(INDEX(設定!$C$43:$C$45,MATCH(K63,設定!$B$43:$B$45,0)),1))</f>
        <v/>
      </c>
      <c r="R63" s="25" t="str">
        <f aca="false">IF(B63="","",O63-N63)</f>
        <v/>
      </c>
      <c r="S63" s="26" t="str">
        <f aca="false">IF(B63="","",IF(N63=0,"",R63/N63))</f>
        <v/>
      </c>
      <c r="T63" s="26" t="str">
        <f aca="false">IF(B63="","",IF(P63=0,"",S63*365/P63))</f>
        <v/>
      </c>
      <c r="U63" s="27" t="str">
        <f aca="false">IF(B63="","",IFERROR(S63/INDEX(設定!$C$43:$C$45,MATCH(K63,設定!$B$43:$B$45,0)),""))</f>
        <v/>
      </c>
      <c r="V63" s="7" t="str">
        <f aca="false">IF(B63="","",IF(P63&lt;=設定!$C$6,IF(S63&gt;=設定!$C$7,"I(コア)","II(回転)"),IF(S63&gt;=設定!$C$7,"III(厳選)","IV(見送り)")))</f>
        <v/>
      </c>
      <c r="W63" s="26" t="str">
        <f aca="false">IF(B63="","",IF(L63="在庫中",IF($C$6=0,"",O63/$C$6),""))</f>
        <v/>
      </c>
      <c r="X63" s="21"/>
    </row>
    <row r="64" customFormat="false" ht="15" hidden="false" customHeight="false" outlineLevel="0" collapsed="false">
      <c r="A64" s="18" t="str">
        <f aca="false">IF(B64="","",ROW()-10)</f>
        <v/>
      </c>
      <c r="B64" s="21"/>
      <c r="C64" s="20"/>
      <c r="D64" s="21"/>
      <c r="E64" s="21"/>
      <c r="F64" s="21"/>
      <c r="G64" s="21"/>
      <c r="H64" s="21"/>
      <c r="I64" s="21"/>
      <c r="J64" s="20"/>
      <c r="K64" s="20"/>
      <c r="L64" s="20"/>
      <c r="M64" s="35"/>
      <c r="N64" s="22"/>
      <c r="O64" s="22"/>
      <c r="P64" s="23"/>
      <c r="Q64" s="24" t="str">
        <f aca="false">IF(B64="","",P64*IFERROR(INDEX(設定!$C$43:$C$45,MATCH(K64,設定!$B$43:$B$45,0)),1))</f>
        <v/>
      </c>
      <c r="R64" s="25" t="str">
        <f aca="false">IF(B64="","",O64-N64)</f>
        <v/>
      </c>
      <c r="S64" s="26" t="str">
        <f aca="false">IF(B64="","",IF(N64=0,"",R64/N64))</f>
        <v/>
      </c>
      <c r="T64" s="26" t="str">
        <f aca="false">IF(B64="","",IF(P64=0,"",S64*365/P64))</f>
        <v/>
      </c>
      <c r="U64" s="27" t="str">
        <f aca="false">IF(B64="","",IFERROR(S64/INDEX(設定!$C$43:$C$45,MATCH(K64,設定!$B$43:$B$45,0)),""))</f>
        <v/>
      </c>
      <c r="V64" s="7" t="str">
        <f aca="false">IF(B64="","",IF(P64&lt;=設定!$C$6,IF(S64&gt;=設定!$C$7,"I(コア)","II(回転)"),IF(S64&gt;=設定!$C$7,"III(厳選)","IV(見送り)")))</f>
        <v/>
      </c>
      <c r="W64" s="26" t="str">
        <f aca="false">IF(B64="","",IF(L64="在庫中",IF($C$6=0,"",O64/$C$6),""))</f>
        <v/>
      </c>
      <c r="X64" s="21"/>
    </row>
    <row r="65" customFormat="false" ht="15" hidden="false" customHeight="false" outlineLevel="0" collapsed="false">
      <c r="A65" s="18" t="str">
        <f aca="false">IF(B65="","",ROW()-10)</f>
        <v/>
      </c>
      <c r="B65" s="21"/>
      <c r="C65" s="20"/>
      <c r="D65" s="21"/>
      <c r="E65" s="21"/>
      <c r="F65" s="21"/>
      <c r="G65" s="21"/>
      <c r="H65" s="21"/>
      <c r="I65" s="21"/>
      <c r="J65" s="20"/>
      <c r="K65" s="20"/>
      <c r="L65" s="20"/>
      <c r="M65" s="35"/>
      <c r="N65" s="22"/>
      <c r="O65" s="22"/>
      <c r="P65" s="23"/>
      <c r="Q65" s="24" t="str">
        <f aca="false">IF(B65="","",P65*IFERROR(INDEX(設定!$C$43:$C$45,MATCH(K65,設定!$B$43:$B$45,0)),1))</f>
        <v/>
      </c>
      <c r="R65" s="25" t="str">
        <f aca="false">IF(B65="","",O65-N65)</f>
        <v/>
      </c>
      <c r="S65" s="26" t="str">
        <f aca="false">IF(B65="","",IF(N65=0,"",R65/N65))</f>
        <v/>
      </c>
      <c r="T65" s="26" t="str">
        <f aca="false">IF(B65="","",IF(P65=0,"",S65*365/P65))</f>
        <v/>
      </c>
      <c r="U65" s="27" t="str">
        <f aca="false">IF(B65="","",IFERROR(S65/INDEX(設定!$C$43:$C$45,MATCH(K65,設定!$B$43:$B$45,0)),""))</f>
        <v/>
      </c>
      <c r="V65" s="7" t="str">
        <f aca="false">IF(B65="","",IF(P65&lt;=設定!$C$6,IF(S65&gt;=設定!$C$7,"I(コア)","II(回転)"),IF(S65&gt;=設定!$C$7,"III(厳選)","IV(見送り)")))</f>
        <v/>
      </c>
      <c r="W65" s="26" t="str">
        <f aca="false">IF(B65="","",IF(L65="在庫中",IF($C$6=0,"",O65/$C$6),""))</f>
        <v/>
      </c>
      <c r="X65" s="21"/>
    </row>
    <row r="66" customFormat="false" ht="15" hidden="false" customHeight="false" outlineLevel="0" collapsed="false">
      <c r="A66" s="18" t="str">
        <f aca="false">IF(B66="","",ROW()-10)</f>
        <v/>
      </c>
      <c r="B66" s="21"/>
      <c r="C66" s="20"/>
      <c r="D66" s="21"/>
      <c r="E66" s="21"/>
      <c r="F66" s="21"/>
      <c r="G66" s="21"/>
      <c r="H66" s="21"/>
      <c r="I66" s="21"/>
      <c r="J66" s="20"/>
      <c r="K66" s="20"/>
      <c r="L66" s="20"/>
      <c r="M66" s="35"/>
      <c r="N66" s="22"/>
      <c r="O66" s="22"/>
      <c r="P66" s="23"/>
      <c r="Q66" s="24" t="str">
        <f aca="false">IF(B66="","",P66*IFERROR(INDEX(設定!$C$43:$C$45,MATCH(K66,設定!$B$43:$B$45,0)),1))</f>
        <v/>
      </c>
      <c r="R66" s="25" t="str">
        <f aca="false">IF(B66="","",O66-N66)</f>
        <v/>
      </c>
      <c r="S66" s="26" t="str">
        <f aca="false">IF(B66="","",IF(N66=0,"",R66/N66))</f>
        <v/>
      </c>
      <c r="T66" s="26" t="str">
        <f aca="false">IF(B66="","",IF(P66=0,"",S66*365/P66))</f>
        <v/>
      </c>
      <c r="U66" s="27" t="str">
        <f aca="false">IF(B66="","",IFERROR(S66/INDEX(設定!$C$43:$C$45,MATCH(K66,設定!$B$43:$B$45,0)),""))</f>
        <v/>
      </c>
      <c r="V66" s="7" t="str">
        <f aca="false">IF(B66="","",IF(P66&lt;=設定!$C$6,IF(S66&gt;=設定!$C$7,"I(コア)","II(回転)"),IF(S66&gt;=設定!$C$7,"III(厳選)","IV(見送り)")))</f>
        <v/>
      </c>
      <c r="W66" s="26" t="str">
        <f aca="false">IF(B66="","",IF(L66="在庫中",IF($C$6=0,"",O66/$C$6),""))</f>
        <v/>
      </c>
      <c r="X66" s="21"/>
    </row>
    <row r="67" customFormat="false" ht="15" hidden="false" customHeight="false" outlineLevel="0" collapsed="false">
      <c r="A67" s="18" t="str">
        <f aca="false">IF(B67="","",ROW()-10)</f>
        <v/>
      </c>
      <c r="B67" s="21"/>
      <c r="C67" s="20"/>
      <c r="D67" s="21"/>
      <c r="E67" s="21"/>
      <c r="F67" s="21"/>
      <c r="G67" s="21"/>
      <c r="H67" s="21"/>
      <c r="I67" s="21"/>
      <c r="J67" s="20"/>
      <c r="K67" s="20"/>
      <c r="L67" s="20"/>
      <c r="M67" s="35"/>
      <c r="N67" s="22"/>
      <c r="O67" s="22"/>
      <c r="P67" s="23"/>
      <c r="Q67" s="24" t="str">
        <f aca="false">IF(B67="","",P67*IFERROR(INDEX(設定!$C$43:$C$45,MATCH(K67,設定!$B$43:$B$45,0)),1))</f>
        <v/>
      </c>
      <c r="R67" s="25" t="str">
        <f aca="false">IF(B67="","",O67-N67)</f>
        <v/>
      </c>
      <c r="S67" s="26" t="str">
        <f aca="false">IF(B67="","",IF(N67=0,"",R67/N67))</f>
        <v/>
      </c>
      <c r="T67" s="26" t="str">
        <f aca="false">IF(B67="","",IF(P67=0,"",S67*365/P67))</f>
        <v/>
      </c>
      <c r="U67" s="27" t="str">
        <f aca="false">IF(B67="","",IFERROR(S67/INDEX(設定!$C$43:$C$45,MATCH(K67,設定!$B$43:$B$45,0)),""))</f>
        <v/>
      </c>
      <c r="V67" s="7" t="str">
        <f aca="false">IF(B67="","",IF(P67&lt;=設定!$C$6,IF(S67&gt;=設定!$C$7,"I(コア)","II(回転)"),IF(S67&gt;=設定!$C$7,"III(厳選)","IV(見送り)")))</f>
        <v/>
      </c>
      <c r="W67" s="26" t="str">
        <f aca="false">IF(B67="","",IF(L67="在庫中",IF($C$6=0,"",O67/$C$6),""))</f>
        <v/>
      </c>
      <c r="X67" s="21"/>
    </row>
    <row r="68" customFormat="false" ht="15" hidden="false" customHeight="false" outlineLevel="0" collapsed="false">
      <c r="A68" s="18" t="str">
        <f aca="false">IF(B68="","",ROW()-10)</f>
        <v/>
      </c>
      <c r="B68" s="21"/>
      <c r="C68" s="20"/>
      <c r="D68" s="21"/>
      <c r="E68" s="21"/>
      <c r="F68" s="21"/>
      <c r="G68" s="21"/>
      <c r="H68" s="21"/>
      <c r="I68" s="21"/>
      <c r="J68" s="20"/>
      <c r="K68" s="20"/>
      <c r="L68" s="20"/>
      <c r="M68" s="35"/>
      <c r="N68" s="22"/>
      <c r="O68" s="22"/>
      <c r="P68" s="23"/>
      <c r="Q68" s="24" t="str">
        <f aca="false">IF(B68="","",P68*IFERROR(INDEX(設定!$C$43:$C$45,MATCH(K68,設定!$B$43:$B$45,0)),1))</f>
        <v/>
      </c>
      <c r="R68" s="25" t="str">
        <f aca="false">IF(B68="","",O68-N68)</f>
        <v/>
      </c>
      <c r="S68" s="26" t="str">
        <f aca="false">IF(B68="","",IF(N68=0,"",R68/N68))</f>
        <v/>
      </c>
      <c r="T68" s="26" t="str">
        <f aca="false">IF(B68="","",IF(P68=0,"",S68*365/P68))</f>
        <v/>
      </c>
      <c r="U68" s="27" t="str">
        <f aca="false">IF(B68="","",IFERROR(S68/INDEX(設定!$C$43:$C$45,MATCH(K68,設定!$B$43:$B$45,0)),""))</f>
        <v/>
      </c>
      <c r="V68" s="7" t="str">
        <f aca="false">IF(B68="","",IF(P68&lt;=設定!$C$6,IF(S68&gt;=設定!$C$7,"I(コア)","II(回転)"),IF(S68&gt;=設定!$C$7,"III(厳選)","IV(見送り)")))</f>
        <v/>
      </c>
      <c r="W68" s="26" t="str">
        <f aca="false">IF(B68="","",IF(L68="在庫中",IF($C$6=0,"",O68/$C$6),""))</f>
        <v/>
      </c>
      <c r="X68" s="21"/>
    </row>
    <row r="69" customFormat="false" ht="15" hidden="false" customHeight="false" outlineLevel="0" collapsed="false">
      <c r="A69" s="18" t="str">
        <f aca="false">IF(B69="","",ROW()-10)</f>
        <v/>
      </c>
      <c r="B69" s="21"/>
      <c r="C69" s="20"/>
      <c r="D69" s="21"/>
      <c r="E69" s="21"/>
      <c r="F69" s="21"/>
      <c r="G69" s="21"/>
      <c r="H69" s="21"/>
      <c r="I69" s="21"/>
      <c r="J69" s="20"/>
      <c r="K69" s="20"/>
      <c r="L69" s="20"/>
      <c r="M69" s="35"/>
      <c r="N69" s="22"/>
      <c r="O69" s="22"/>
      <c r="P69" s="23"/>
      <c r="Q69" s="24" t="str">
        <f aca="false">IF(B69="","",P69*IFERROR(INDEX(設定!$C$43:$C$45,MATCH(K69,設定!$B$43:$B$45,0)),1))</f>
        <v/>
      </c>
      <c r="R69" s="25" t="str">
        <f aca="false">IF(B69="","",O69-N69)</f>
        <v/>
      </c>
      <c r="S69" s="26" t="str">
        <f aca="false">IF(B69="","",IF(N69=0,"",R69/N69))</f>
        <v/>
      </c>
      <c r="T69" s="26" t="str">
        <f aca="false">IF(B69="","",IF(P69=0,"",S69*365/P69))</f>
        <v/>
      </c>
      <c r="U69" s="27" t="str">
        <f aca="false">IF(B69="","",IFERROR(S69/INDEX(設定!$C$43:$C$45,MATCH(K69,設定!$B$43:$B$45,0)),""))</f>
        <v/>
      </c>
      <c r="V69" s="7" t="str">
        <f aca="false">IF(B69="","",IF(P69&lt;=設定!$C$6,IF(S69&gt;=設定!$C$7,"I(コア)","II(回転)"),IF(S69&gt;=設定!$C$7,"III(厳選)","IV(見送り)")))</f>
        <v/>
      </c>
      <c r="W69" s="26" t="str">
        <f aca="false">IF(B69="","",IF(L69="在庫中",IF($C$6=0,"",O69/$C$6),""))</f>
        <v/>
      </c>
      <c r="X69" s="21"/>
    </row>
    <row r="70" customFormat="false" ht="15" hidden="false" customHeight="false" outlineLevel="0" collapsed="false">
      <c r="A70" s="18" t="str">
        <f aca="false">IF(B70="","",ROW()-10)</f>
        <v/>
      </c>
      <c r="B70" s="21"/>
      <c r="C70" s="20"/>
      <c r="D70" s="21"/>
      <c r="E70" s="21"/>
      <c r="F70" s="21"/>
      <c r="G70" s="21"/>
      <c r="H70" s="21"/>
      <c r="I70" s="21"/>
      <c r="J70" s="20"/>
      <c r="K70" s="20"/>
      <c r="L70" s="20"/>
      <c r="M70" s="35"/>
      <c r="N70" s="22"/>
      <c r="O70" s="22"/>
      <c r="P70" s="23"/>
      <c r="Q70" s="24" t="str">
        <f aca="false">IF(B70="","",P70*IFERROR(INDEX(設定!$C$43:$C$45,MATCH(K70,設定!$B$43:$B$45,0)),1))</f>
        <v/>
      </c>
      <c r="R70" s="25" t="str">
        <f aca="false">IF(B70="","",O70-N70)</f>
        <v/>
      </c>
      <c r="S70" s="26" t="str">
        <f aca="false">IF(B70="","",IF(N70=0,"",R70/N70))</f>
        <v/>
      </c>
      <c r="T70" s="26" t="str">
        <f aca="false">IF(B70="","",IF(P70=0,"",S70*365/P70))</f>
        <v/>
      </c>
      <c r="U70" s="27" t="str">
        <f aca="false">IF(B70="","",IFERROR(S70/INDEX(設定!$C$43:$C$45,MATCH(K70,設定!$B$43:$B$45,0)),""))</f>
        <v/>
      </c>
      <c r="V70" s="7" t="str">
        <f aca="false">IF(B70="","",IF(P70&lt;=設定!$C$6,IF(S70&gt;=設定!$C$7,"I(コア)","II(回転)"),IF(S70&gt;=設定!$C$7,"III(厳選)","IV(見送り)")))</f>
        <v/>
      </c>
      <c r="W70" s="26" t="str">
        <f aca="false">IF(B70="","",IF(L70="在庫中",IF($C$6=0,"",O70/$C$6),""))</f>
        <v/>
      </c>
      <c r="X70" s="21"/>
    </row>
    <row r="71" customFormat="false" ht="15" hidden="false" customHeight="false" outlineLevel="0" collapsed="false">
      <c r="A71" s="18" t="str">
        <f aca="false">IF(B71="","",ROW()-10)</f>
        <v/>
      </c>
      <c r="B71" s="21"/>
      <c r="C71" s="20"/>
      <c r="D71" s="21"/>
      <c r="E71" s="21"/>
      <c r="F71" s="21"/>
      <c r="G71" s="21"/>
      <c r="H71" s="21"/>
      <c r="I71" s="21"/>
      <c r="J71" s="20"/>
      <c r="K71" s="20"/>
      <c r="L71" s="20"/>
      <c r="M71" s="35"/>
      <c r="N71" s="22"/>
      <c r="O71" s="22"/>
      <c r="P71" s="23"/>
      <c r="Q71" s="24" t="str">
        <f aca="false">IF(B71="","",P71*IFERROR(INDEX(設定!$C$43:$C$45,MATCH(K71,設定!$B$43:$B$45,0)),1))</f>
        <v/>
      </c>
      <c r="R71" s="25" t="str">
        <f aca="false">IF(B71="","",O71-N71)</f>
        <v/>
      </c>
      <c r="S71" s="26" t="str">
        <f aca="false">IF(B71="","",IF(N71=0,"",R71/N71))</f>
        <v/>
      </c>
      <c r="T71" s="26" t="str">
        <f aca="false">IF(B71="","",IF(P71=0,"",S71*365/P71))</f>
        <v/>
      </c>
      <c r="U71" s="27" t="str">
        <f aca="false">IF(B71="","",IFERROR(S71/INDEX(設定!$C$43:$C$45,MATCH(K71,設定!$B$43:$B$45,0)),""))</f>
        <v/>
      </c>
      <c r="V71" s="7" t="str">
        <f aca="false">IF(B71="","",IF(P71&lt;=設定!$C$6,IF(S71&gt;=設定!$C$7,"I(コア)","II(回転)"),IF(S71&gt;=設定!$C$7,"III(厳選)","IV(見送り)")))</f>
        <v/>
      </c>
      <c r="W71" s="26" t="str">
        <f aca="false">IF(B71="","",IF(L71="在庫中",IF($C$6=0,"",O71/$C$6),""))</f>
        <v/>
      </c>
      <c r="X71" s="21"/>
    </row>
    <row r="72" customFormat="false" ht="15" hidden="false" customHeight="false" outlineLevel="0" collapsed="false">
      <c r="A72" s="18" t="str">
        <f aca="false">IF(B72="","",ROW()-10)</f>
        <v/>
      </c>
      <c r="B72" s="21"/>
      <c r="C72" s="20"/>
      <c r="D72" s="21"/>
      <c r="E72" s="21"/>
      <c r="F72" s="21"/>
      <c r="G72" s="21"/>
      <c r="H72" s="21"/>
      <c r="I72" s="21"/>
      <c r="J72" s="20"/>
      <c r="K72" s="20"/>
      <c r="L72" s="20"/>
      <c r="M72" s="35"/>
      <c r="N72" s="22"/>
      <c r="O72" s="22"/>
      <c r="P72" s="23"/>
      <c r="Q72" s="24" t="str">
        <f aca="false">IF(B72="","",P72*IFERROR(INDEX(設定!$C$43:$C$45,MATCH(K72,設定!$B$43:$B$45,0)),1))</f>
        <v/>
      </c>
      <c r="R72" s="25" t="str">
        <f aca="false">IF(B72="","",O72-N72)</f>
        <v/>
      </c>
      <c r="S72" s="26" t="str">
        <f aca="false">IF(B72="","",IF(N72=0,"",R72/N72))</f>
        <v/>
      </c>
      <c r="T72" s="26" t="str">
        <f aca="false">IF(B72="","",IF(P72=0,"",S72*365/P72))</f>
        <v/>
      </c>
      <c r="U72" s="27" t="str">
        <f aca="false">IF(B72="","",IFERROR(S72/INDEX(設定!$C$43:$C$45,MATCH(K72,設定!$B$43:$B$45,0)),""))</f>
        <v/>
      </c>
      <c r="V72" s="7" t="str">
        <f aca="false">IF(B72="","",IF(P72&lt;=設定!$C$6,IF(S72&gt;=設定!$C$7,"I(コア)","II(回転)"),IF(S72&gt;=設定!$C$7,"III(厳選)","IV(見送り)")))</f>
        <v/>
      </c>
      <c r="W72" s="26" t="str">
        <f aca="false">IF(B72="","",IF(L72="在庫中",IF($C$6=0,"",O72/$C$6),""))</f>
        <v/>
      </c>
      <c r="X72" s="21"/>
    </row>
    <row r="73" customFormat="false" ht="15" hidden="false" customHeight="false" outlineLevel="0" collapsed="false">
      <c r="A73" s="18" t="str">
        <f aca="false">IF(B73="","",ROW()-10)</f>
        <v/>
      </c>
      <c r="B73" s="21"/>
      <c r="C73" s="20"/>
      <c r="D73" s="21"/>
      <c r="E73" s="21"/>
      <c r="F73" s="21"/>
      <c r="G73" s="21"/>
      <c r="H73" s="21"/>
      <c r="I73" s="21"/>
      <c r="J73" s="20"/>
      <c r="K73" s="20"/>
      <c r="L73" s="20"/>
      <c r="M73" s="35"/>
      <c r="N73" s="22"/>
      <c r="O73" s="22"/>
      <c r="P73" s="23"/>
      <c r="Q73" s="24" t="str">
        <f aca="false">IF(B73="","",P73*IFERROR(INDEX(設定!$C$43:$C$45,MATCH(K73,設定!$B$43:$B$45,0)),1))</f>
        <v/>
      </c>
      <c r="R73" s="25" t="str">
        <f aca="false">IF(B73="","",O73-N73)</f>
        <v/>
      </c>
      <c r="S73" s="26" t="str">
        <f aca="false">IF(B73="","",IF(N73=0,"",R73/N73))</f>
        <v/>
      </c>
      <c r="T73" s="26" t="str">
        <f aca="false">IF(B73="","",IF(P73=0,"",S73*365/P73))</f>
        <v/>
      </c>
      <c r="U73" s="27" t="str">
        <f aca="false">IF(B73="","",IFERROR(S73/INDEX(設定!$C$43:$C$45,MATCH(K73,設定!$B$43:$B$45,0)),""))</f>
        <v/>
      </c>
      <c r="V73" s="7" t="str">
        <f aca="false">IF(B73="","",IF(P73&lt;=設定!$C$6,IF(S73&gt;=設定!$C$7,"I(コア)","II(回転)"),IF(S73&gt;=設定!$C$7,"III(厳選)","IV(見送り)")))</f>
        <v/>
      </c>
      <c r="W73" s="26" t="str">
        <f aca="false">IF(B73="","",IF(L73="在庫中",IF($C$6=0,"",O73/$C$6),""))</f>
        <v/>
      </c>
      <c r="X73" s="21"/>
    </row>
    <row r="74" customFormat="false" ht="15" hidden="false" customHeight="false" outlineLevel="0" collapsed="false">
      <c r="A74" s="18" t="str">
        <f aca="false">IF(B74="","",ROW()-10)</f>
        <v/>
      </c>
      <c r="B74" s="21"/>
      <c r="C74" s="20"/>
      <c r="D74" s="21"/>
      <c r="E74" s="21"/>
      <c r="F74" s="21"/>
      <c r="G74" s="21"/>
      <c r="H74" s="21"/>
      <c r="I74" s="21"/>
      <c r="J74" s="20"/>
      <c r="K74" s="20"/>
      <c r="L74" s="20"/>
      <c r="M74" s="35"/>
      <c r="N74" s="22"/>
      <c r="O74" s="22"/>
      <c r="P74" s="23"/>
      <c r="Q74" s="24" t="str">
        <f aca="false">IF(B74="","",P74*IFERROR(INDEX(設定!$C$43:$C$45,MATCH(K74,設定!$B$43:$B$45,0)),1))</f>
        <v/>
      </c>
      <c r="R74" s="25" t="str">
        <f aca="false">IF(B74="","",O74-N74)</f>
        <v/>
      </c>
      <c r="S74" s="26" t="str">
        <f aca="false">IF(B74="","",IF(N74=0,"",R74/N74))</f>
        <v/>
      </c>
      <c r="T74" s="26" t="str">
        <f aca="false">IF(B74="","",IF(P74=0,"",S74*365/P74))</f>
        <v/>
      </c>
      <c r="U74" s="27" t="str">
        <f aca="false">IF(B74="","",IFERROR(S74/INDEX(設定!$C$43:$C$45,MATCH(K74,設定!$B$43:$B$45,0)),""))</f>
        <v/>
      </c>
      <c r="V74" s="7" t="str">
        <f aca="false">IF(B74="","",IF(P74&lt;=設定!$C$6,IF(S74&gt;=設定!$C$7,"I(コア)","II(回転)"),IF(S74&gt;=設定!$C$7,"III(厳選)","IV(見送り)")))</f>
        <v/>
      </c>
      <c r="W74" s="26" t="str">
        <f aca="false">IF(B74="","",IF(L74="在庫中",IF($C$6=0,"",O74/$C$6),""))</f>
        <v/>
      </c>
      <c r="X74" s="21"/>
    </row>
    <row r="75" customFormat="false" ht="15" hidden="false" customHeight="false" outlineLevel="0" collapsed="false">
      <c r="A75" s="18" t="str">
        <f aca="false">IF(B75="","",ROW()-10)</f>
        <v/>
      </c>
      <c r="B75" s="21"/>
      <c r="C75" s="20"/>
      <c r="D75" s="21"/>
      <c r="E75" s="21"/>
      <c r="F75" s="21"/>
      <c r="G75" s="21"/>
      <c r="H75" s="21"/>
      <c r="I75" s="21"/>
      <c r="J75" s="20"/>
      <c r="K75" s="20"/>
      <c r="L75" s="20"/>
      <c r="M75" s="35"/>
      <c r="N75" s="22"/>
      <c r="O75" s="22"/>
      <c r="P75" s="23"/>
      <c r="Q75" s="24" t="str">
        <f aca="false">IF(B75="","",P75*IFERROR(INDEX(設定!$C$43:$C$45,MATCH(K75,設定!$B$43:$B$45,0)),1))</f>
        <v/>
      </c>
      <c r="R75" s="25" t="str">
        <f aca="false">IF(B75="","",O75-N75)</f>
        <v/>
      </c>
      <c r="S75" s="26" t="str">
        <f aca="false">IF(B75="","",IF(N75=0,"",R75/N75))</f>
        <v/>
      </c>
      <c r="T75" s="26" t="str">
        <f aca="false">IF(B75="","",IF(P75=0,"",S75*365/P75))</f>
        <v/>
      </c>
      <c r="U75" s="27" t="str">
        <f aca="false">IF(B75="","",IFERROR(S75/INDEX(設定!$C$43:$C$45,MATCH(K75,設定!$B$43:$B$45,0)),""))</f>
        <v/>
      </c>
      <c r="V75" s="7" t="str">
        <f aca="false">IF(B75="","",IF(P75&lt;=設定!$C$6,IF(S75&gt;=設定!$C$7,"I(コア)","II(回転)"),IF(S75&gt;=設定!$C$7,"III(厳選)","IV(見送り)")))</f>
        <v/>
      </c>
      <c r="W75" s="26" t="str">
        <f aca="false">IF(B75="","",IF(L75="在庫中",IF($C$6=0,"",O75/$C$6),""))</f>
        <v/>
      </c>
      <c r="X75" s="21"/>
    </row>
    <row r="76" customFormat="false" ht="15" hidden="false" customHeight="false" outlineLevel="0" collapsed="false">
      <c r="A76" s="18" t="str">
        <f aca="false">IF(B76="","",ROW()-10)</f>
        <v/>
      </c>
      <c r="B76" s="21"/>
      <c r="C76" s="20"/>
      <c r="D76" s="21"/>
      <c r="E76" s="21"/>
      <c r="F76" s="21"/>
      <c r="G76" s="21"/>
      <c r="H76" s="21"/>
      <c r="I76" s="21"/>
      <c r="J76" s="20"/>
      <c r="K76" s="20"/>
      <c r="L76" s="20"/>
      <c r="M76" s="35"/>
      <c r="N76" s="22"/>
      <c r="O76" s="22"/>
      <c r="P76" s="23"/>
      <c r="Q76" s="24" t="str">
        <f aca="false">IF(B76="","",P76*IFERROR(INDEX(設定!$C$43:$C$45,MATCH(K76,設定!$B$43:$B$45,0)),1))</f>
        <v/>
      </c>
      <c r="R76" s="25" t="str">
        <f aca="false">IF(B76="","",O76-N76)</f>
        <v/>
      </c>
      <c r="S76" s="26" t="str">
        <f aca="false">IF(B76="","",IF(N76=0,"",R76/N76))</f>
        <v/>
      </c>
      <c r="T76" s="26" t="str">
        <f aca="false">IF(B76="","",IF(P76=0,"",S76*365/P76))</f>
        <v/>
      </c>
      <c r="U76" s="27" t="str">
        <f aca="false">IF(B76="","",IFERROR(S76/INDEX(設定!$C$43:$C$45,MATCH(K76,設定!$B$43:$B$45,0)),""))</f>
        <v/>
      </c>
      <c r="V76" s="7" t="str">
        <f aca="false">IF(B76="","",IF(P76&lt;=設定!$C$6,IF(S76&gt;=設定!$C$7,"I(コア)","II(回転)"),IF(S76&gt;=設定!$C$7,"III(厳選)","IV(見送り)")))</f>
        <v/>
      </c>
      <c r="W76" s="26" t="str">
        <f aca="false">IF(B76="","",IF(L76="在庫中",IF($C$6=0,"",O76/$C$6),""))</f>
        <v/>
      </c>
      <c r="X76" s="21"/>
    </row>
    <row r="77" customFormat="false" ht="15" hidden="false" customHeight="false" outlineLevel="0" collapsed="false">
      <c r="A77" s="18" t="str">
        <f aca="false">IF(B77="","",ROW()-10)</f>
        <v/>
      </c>
      <c r="B77" s="21"/>
      <c r="C77" s="20"/>
      <c r="D77" s="21"/>
      <c r="E77" s="21"/>
      <c r="F77" s="21"/>
      <c r="G77" s="21"/>
      <c r="H77" s="21"/>
      <c r="I77" s="21"/>
      <c r="J77" s="20"/>
      <c r="K77" s="20"/>
      <c r="L77" s="20"/>
      <c r="M77" s="35"/>
      <c r="N77" s="22"/>
      <c r="O77" s="22"/>
      <c r="P77" s="23"/>
      <c r="Q77" s="24" t="str">
        <f aca="false">IF(B77="","",P77*IFERROR(INDEX(設定!$C$43:$C$45,MATCH(K77,設定!$B$43:$B$45,0)),1))</f>
        <v/>
      </c>
      <c r="R77" s="25" t="str">
        <f aca="false">IF(B77="","",O77-N77)</f>
        <v/>
      </c>
      <c r="S77" s="26" t="str">
        <f aca="false">IF(B77="","",IF(N77=0,"",R77/N77))</f>
        <v/>
      </c>
      <c r="T77" s="26" t="str">
        <f aca="false">IF(B77="","",IF(P77=0,"",S77*365/P77))</f>
        <v/>
      </c>
      <c r="U77" s="27" t="str">
        <f aca="false">IF(B77="","",IFERROR(S77/INDEX(設定!$C$43:$C$45,MATCH(K77,設定!$B$43:$B$45,0)),""))</f>
        <v/>
      </c>
      <c r="V77" s="7" t="str">
        <f aca="false">IF(B77="","",IF(P77&lt;=設定!$C$6,IF(S77&gt;=設定!$C$7,"I(コア)","II(回転)"),IF(S77&gt;=設定!$C$7,"III(厳選)","IV(見送り)")))</f>
        <v/>
      </c>
      <c r="W77" s="26" t="str">
        <f aca="false">IF(B77="","",IF(L77="在庫中",IF($C$6=0,"",O77/$C$6),""))</f>
        <v/>
      </c>
      <c r="X77" s="21"/>
    </row>
    <row r="78" customFormat="false" ht="15" hidden="false" customHeight="false" outlineLevel="0" collapsed="false">
      <c r="A78" s="18" t="str">
        <f aca="false">IF(B78="","",ROW()-10)</f>
        <v/>
      </c>
      <c r="B78" s="21"/>
      <c r="C78" s="20"/>
      <c r="D78" s="21"/>
      <c r="E78" s="21"/>
      <c r="F78" s="21"/>
      <c r="G78" s="21"/>
      <c r="H78" s="21"/>
      <c r="I78" s="21"/>
      <c r="J78" s="20"/>
      <c r="K78" s="20"/>
      <c r="L78" s="20"/>
      <c r="M78" s="35"/>
      <c r="N78" s="22"/>
      <c r="O78" s="22"/>
      <c r="P78" s="23"/>
      <c r="Q78" s="24" t="str">
        <f aca="false">IF(B78="","",P78*IFERROR(INDEX(設定!$C$43:$C$45,MATCH(K78,設定!$B$43:$B$45,0)),1))</f>
        <v/>
      </c>
      <c r="R78" s="25" t="str">
        <f aca="false">IF(B78="","",O78-N78)</f>
        <v/>
      </c>
      <c r="S78" s="26" t="str">
        <f aca="false">IF(B78="","",IF(N78=0,"",R78/N78))</f>
        <v/>
      </c>
      <c r="T78" s="26" t="str">
        <f aca="false">IF(B78="","",IF(P78=0,"",S78*365/P78))</f>
        <v/>
      </c>
      <c r="U78" s="27" t="str">
        <f aca="false">IF(B78="","",IFERROR(S78/INDEX(設定!$C$43:$C$45,MATCH(K78,設定!$B$43:$B$45,0)),""))</f>
        <v/>
      </c>
      <c r="V78" s="7" t="str">
        <f aca="false">IF(B78="","",IF(P78&lt;=設定!$C$6,IF(S78&gt;=設定!$C$7,"I(コア)","II(回転)"),IF(S78&gt;=設定!$C$7,"III(厳選)","IV(見送り)")))</f>
        <v/>
      </c>
      <c r="W78" s="26" t="str">
        <f aca="false">IF(B78="","",IF(L78="在庫中",IF($C$6=0,"",O78/$C$6),""))</f>
        <v/>
      </c>
      <c r="X78" s="21"/>
    </row>
    <row r="79" customFormat="false" ht="15" hidden="false" customHeight="false" outlineLevel="0" collapsed="false">
      <c r="A79" s="18" t="str">
        <f aca="false">IF(B79="","",ROW()-10)</f>
        <v/>
      </c>
      <c r="B79" s="21"/>
      <c r="C79" s="20"/>
      <c r="D79" s="21"/>
      <c r="E79" s="21"/>
      <c r="F79" s="21"/>
      <c r="G79" s="21"/>
      <c r="H79" s="21"/>
      <c r="I79" s="21"/>
      <c r="J79" s="20"/>
      <c r="K79" s="20"/>
      <c r="L79" s="20"/>
      <c r="M79" s="35"/>
      <c r="N79" s="22"/>
      <c r="O79" s="22"/>
      <c r="P79" s="23"/>
      <c r="Q79" s="24" t="str">
        <f aca="false">IF(B79="","",P79*IFERROR(INDEX(設定!$C$43:$C$45,MATCH(K79,設定!$B$43:$B$45,0)),1))</f>
        <v/>
      </c>
      <c r="R79" s="25" t="str">
        <f aca="false">IF(B79="","",O79-N79)</f>
        <v/>
      </c>
      <c r="S79" s="26" t="str">
        <f aca="false">IF(B79="","",IF(N79=0,"",R79/N79))</f>
        <v/>
      </c>
      <c r="T79" s="26" t="str">
        <f aca="false">IF(B79="","",IF(P79=0,"",S79*365/P79))</f>
        <v/>
      </c>
      <c r="U79" s="27" t="str">
        <f aca="false">IF(B79="","",IFERROR(S79/INDEX(設定!$C$43:$C$45,MATCH(K79,設定!$B$43:$B$45,0)),""))</f>
        <v/>
      </c>
      <c r="V79" s="7" t="str">
        <f aca="false">IF(B79="","",IF(P79&lt;=設定!$C$6,IF(S79&gt;=設定!$C$7,"I(コア)","II(回転)"),IF(S79&gt;=設定!$C$7,"III(厳選)","IV(見送り)")))</f>
        <v/>
      </c>
      <c r="W79" s="26" t="str">
        <f aca="false">IF(B79="","",IF(L79="在庫中",IF($C$6=0,"",O79/$C$6),""))</f>
        <v/>
      </c>
      <c r="X79" s="21"/>
    </row>
    <row r="80" customFormat="false" ht="15" hidden="false" customHeight="false" outlineLevel="0" collapsed="false">
      <c r="A80" s="18" t="str">
        <f aca="false">IF(B80="","",ROW()-10)</f>
        <v/>
      </c>
      <c r="B80" s="21"/>
      <c r="C80" s="20"/>
      <c r="D80" s="21"/>
      <c r="E80" s="21"/>
      <c r="F80" s="21"/>
      <c r="G80" s="21"/>
      <c r="H80" s="21"/>
      <c r="I80" s="21"/>
      <c r="J80" s="20"/>
      <c r="K80" s="20"/>
      <c r="L80" s="20"/>
      <c r="M80" s="35"/>
      <c r="N80" s="22"/>
      <c r="O80" s="22"/>
      <c r="P80" s="23"/>
      <c r="Q80" s="24" t="str">
        <f aca="false">IF(B80="","",P80*IFERROR(INDEX(設定!$C$43:$C$45,MATCH(K80,設定!$B$43:$B$45,0)),1))</f>
        <v/>
      </c>
      <c r="R80" s="25" t="str">
        <f aca="false">IF(B80="","",O80-N80)</f>
        <v/>
      </c>
      <c r="S80" s="26" t="str">
        <f aca="false">IF(B80="","",IF(N80=0,"",R80/N80))</f>
        <v/>
      </c>
      <c r="T80" s="26" t="str">
        <f aca="false">IF(B80="","",IF(P80=0,"",S80*365/P80))</f>
        <v/>
      </c>
      <c r="U80" s="27" t="str">
        <f aca="false">IF(B80="","",IFERROR(S80/INDEX(設定!$C$43:$C$45,MATCH(K80,設定!$B$43:$B$45,0)),""))</f>
        <v/>
      </c>
      <c r="V80" s="7" t="str">
        <f aca="false">IF(B80="","",IF(P80&lt;=設定!$C$6,IF(S80&gt;=設定!$C$7,"I(コア)","II(回転)"),IF(S80&gt;=設定!$C$7,"III(厳選)","IV(見送り)")))</f>
        <v/>
      </c>
      <c r="W80" s="26" t="str">
        <f aca="false">IF(B80="","",IF(L80="在庫中",IF($C$6=0,"",O80/$C$6),""))</f>
        <v/>
      </c>
      <c r="X80" s="21"/>
    </row>
    <row r="81" customFormat="false" ht="15" hidden="false" customHeight="false" outlineLevel="0" collapsed="false">
      <c r="A81" s="18" t="str">
        <f aca="false">IF(B81="","",ROW()-10)</f>
        <v/>
      </c>
      <c r="B81" s="21"/>
      <c r="C81" s="20"/>
      <c r="D81" s="21"/>
      <c r="E81" s="21"/>
      <c r="F81" s="21"/>
      <c r="G81" s="21"/>
      <c r="H81" s="21"/>
      <c r="I81" s="21"/>
      <c r="J81" s="20"/>
      <c r="K81" s="20"/>
      <c r="L81" s="20"/>
      <c r="M81" s="35"/>
      <c r="N81" s="22"/>
      <c r="O81" s="22"/>
      <c r="P81" s="23"/>
      <c r="Q81" s="24" t="str">
        <f aca="false">IF(B81="","",P81*IFERROR(INDEX(設定!$C$43:$C$45,MATCH(K81,設定!$B$43:$B$45,0)),1))</f>
        <v/>
      </c>
      <c r="R81" s="25" t="str">
        <f aca="false">IF(B81="","",O81-N81)</f>
        <v/>
      </c>
      <c r="S81" s="26" t="str">
        <f aca="false">IF(B81="","",IF(N81=0,"",R81/N81))</f>
        <v/>
      </c>
      <c r="T81" s="26" t="str">
        <f aca="false">IF(B81="","",IF(P81=0,"",S81*365/P81))</f>
        <v/>
      </c>
      <c r="U81" s="27" t="str">
        <f aca="false">IF(B81="","",IFERROR(S81/INDEX(設定!$C$43:$C$45,MATCH(K81,設定!$B$43:$B$45,0)),""))</f>
        <v/>
      </c>
      <c r="V81" s="7" t="str">
        <f aca="false">IF(B81="","",IF(P81&lt;=設定!$C$6,IF(S81&gt;=設定!$C$7,"I(コア)","II(回転)"),IF(S81&gt;=設定!$C$7,"III(厳選)","IV(見送り)")))</f>
        <v/>
      </c>
      <c r="W81" s="26" t="str">
        <f aca="false">IF(B81="","",IF(L81="在庫中",IF($C$6=0,"",O81/$C$6),""))</f>
        <v/>
      </c>
      <c r="X81" s="21"/>
    </row>
    <row r="82" customFormat="false" ht="15" hidden="false" customHeight="false" outlineLevel="0" collapsed="false">
      <c r="A82" s="18" t="str">
        <f aca="false">IF(B82="","",ROW()-10)</f>
        <v/>
      </c>
      <c r="B82" s="21"/>
      <c r="C82" s="20"/>
      <c r="D82" s="21"/>
      <c r="E82" s="21"/>
      <c r="F82" s="21"/>
      <c r="G82" s="21"/>
      <c r="H82" s="21"/>
      <c r="I82" s="21"/>
      <c r="J82" s="20"/>
      <c r="K82" s="20"/>
      <c r="L82" s="20"/>
      <c r="M82" s="35"/>
      <c r="N82" s="22"/>
      <c r="O82" s="22"/>
      <c r="P82" s="23"/>
      <c r="Q82" s="24" t="str">
        <f aca="false">IF(B82="","",P82*IFERROR(INDEX(設定!$C$43:$C$45,MATCH(K82,設定!$B$43:$B$45,0)),1))</f>
        <v/>
      </c>
      <c r="R82" s="25" t="str">
        <f aca="false">IF(B82="","",O82-N82)</f>
        <v/>
      </c>
      <c r="S82" s="26" t="str">
        <f aca="false">IF(B82="","",IF(N82=0,"",R82/N82))</f>
        <v/>
      </c>
      <c r="T82" s="26" t="str">
        <f aca="false">IF(B82="","",IF(P82=0,"",S82*365/P82))</f>
        <v/>
      </c>
      <c r="U82" s="27" t="str">
        <f aca="false">IF(B82="","",IFERROR(S82/INDEX(設定!$C$43:$C$45,MATCH(K82,設定!$B$43:$B$45,0)),""))</f>
        <v/>
      </c>
      <c r="V82" s="7" t="str">
        <f aca="false">IF(B82="","",IF(P82&lt;=設定!$C$6,IF(S82&gt;=設定!$C$7,"I(コア)","II(回転)"),IF(S82&gt;=設定!$C$7,"III(厳選)","IV(見送り)")))</f>
        <v/>
      </c>
      <c r="W82" s="26" t="str">
        <f aca="false">IF(B82="","",IF(L82="在庫中",IF($C$6=0,"",O82/$C$6),""))</f>
        <v/>
      </c>
      <c r="X82" s="21"/>
    </row>
    <row r="83" customFormat="false" ht="15" hidden="false" customHeight="false" outlineLevel="0" collapsed="false">
      <c r="A83" s="18" t="str">
        <f aca="false">IF(B83="","",ROW()-10)</f>
        <v/>
      </c>
      <c r="B83" s="21"/>
      <c r="C83" s="20"/>
      <c r="D83" s="21"/>
      <c r="E83" s="21"/>
      <c r="F83" s="21"/>
      <c r="G83" s="21"/>
      <c r="H83" s="21"/>
      <c r="I83" s="21"/>
      <c r="J83" s="20"/>
      <c r="K83" s="20"/>
      <c r="L83" s="20"/>
      <c r="M83" s="35"/>
      <c r="N83" s="22"/>
      <c r="O83" s="22"/>
      <c r="P83" s="23"/>
      <c r="Q83" s="24" t="str">
        <f aca="false">IF(B83="","",P83*IFERROR(INDEX(設定!$C$43:$C$45,MATCH(K83,設定!$B$43:$B$45,0)),1))</f>
        <v/>
      </c>
      <c r="R83" s="25" t="str">
        <f aca="false">IF(B83="","",O83-N83)</f>
        <v/>
      </c>
      <c r="S83" s="26" t="str">
        <f aca="false">IF(B83="","",IF(N83=0,"",R83/N83))</f>
        <v/>
      </c>
      <c r="T83" s="26" t="str">
        <f aca="false">IF(B83="","",IF(P83=0,"",S83*365/P83))</f>
        <v/>
      </c>
      <c r="U83" s="27" t="str">
        <f aca="false">IF(B83="","",IFERROR(S83/INDEX(設定!$C$43:$C$45,MATCH(K83,設定!$B$43:$B$45,0)),""))</f>
        <v/>
      </c>
      <c r="V83" s="7" t="str">
        <f aca="false">IF(B83="","",IF(P83&lt;=設定!$C$6,IF(S83&gt;=設定!$C$7,"I(コア)","II(回転)"),IF(S83&gt;=設定!$C$7,"III(厳選)","IV(見送り)")))</f>
        <v/>
      </c>
      <c r="W83" s="26" t="str">
        <f aca="false">IF(B83="","",IF(L83="在庫中",IF($C$6=0,"",O83/$C$6),""))</f>
        <v/>
      </c>
      <c r="X83" s="21"/>
    </row>
    <row r="84" customFormat="false" ht="15" hidden="false" customHeight="false" outlineLevel="0" collapsed="false">
      <c r="A84" s="18" t="str">
        <f aca="false">IF(B84="","",ROW()-10)</f>
        <v/>
      </c>
      <c r="B84" s="21"/>
      <c r="C84" s="20"/>
      <c r="D84" s="21"/>
      <c r="E84" s="21"/>
      <c r="F84" s="21"/>
      <c r="G84" s="21"/>
      <c r="H84" s="21"/>
      <c r="I84" s="21"/>
      <c r="J84" s="20"/>
      <c r="K84" s="20"/>
      <c r="L84" s="20"/>
      <c r="M84" s="35"/>
      <c r="N84" s="22"/>
      <c r="O84" s="22"/>
      <c r="P84" s="23"/>
      <c r="Q84" s="24" t="str">
        <f aca="false">IF(B84="","",P84*IFERROR(INDEX(設定!$C$43:$C$45,MATCH(K84,設定!$B$43:$B$45,0)),1))</f>
        <v/>
      </c>
      <c r="R84" s="25" t="str">
        <f aca="false">IF(B84="","",O84-N84)</f>
        <v/>
      </c>
      <c r="S84" s="26" t="str">
        <f aca="false">IF(B84="","",IF(N84=0,"",R84/N84))</f>
        <v/>
      </c>
      <c r="T84" s="26" t="str">
        <f aca="false">IF(B84="","",IF(P84=0,"",S84*365/P84))</f>
        <v/>
      </c>
      <c r="U84" s="27" t="str">
        <f aca="false">IF(B84="","",IFERROR(S84/INDEX(設定!$C$43:$C$45,MATCH(K84,設定!$B$43:$B$45,0)),""))</f>
        <v/>
      </c>
      <c r="V84" s="7" t="str">
        <f aca="false">IF(B84="","",IF(P84&lt;=設定!$C$6,IF(S84&gt;=設定!$C$7,"I(コア)","II(回転)"),IF(S84&gt;=設定!$C$7,"III(厳選)","IV(見送り)")))</f>
        <v/>
      </c>
      <c r="W84" s="26" t="str">
        <f aca="false">IF(B84="","",IF(L84="在庫中",IF($C$6=0,"",O84/$C$6),""))</f>
        <v/>
      </c>
      <c r="X84" s="21"/>
    </row>
    <row r="85" customFormat="false" ht="15" hidden="false" customHeight="false" outlineLevel="0" collapsed="false">
      <c r="A85" s="18" t="str">
        <f aca="false">IF(B85="","",ROW()-10)</f>
        <v/>
      </c>
      <c r="B85" s="21"/>
      <c r="C85" s="20"/>
      <c r="D85" s="21"/>
      <c r="E85" s="21"/>
      <c r="F85" s="21"/>
      <c r="G85" s="21"/>
      <c r="H85" s="21"/>
      <c r="I85" s="21"/>
      <c r="J85" s="20"/>
      <c r="K85" s="20"/>
      <c r="L85" s="20"/>
      <c r="M85" s="35"/>
      <c r="N85" s="22"/>
      <c r="O85" s="22"/>
      <c r="P85" s="23"/>
      <c r="Q85" s="24" t="str">
        <f aca="false">IF(B85="","",P85*IFERROR(INDEX(設定!$C$43:$C$45,MATCH(K85,設定!$B$43:$B$45,0)),1))</f>
        <v/>
      </c>
      <c r="R85" s="25" t="str">
        <f aca="false">IF(B85="","",O85-N85)</f>
        <v/>
      </c>
      <c r="S85" s="26" t="str">
        <f aca="false">IF(B85="","",IF(N85=0,"",R85/N85))</f>
        <v/>
      </c>
      <c r="T85" s="26" t="str">
        <f aca="false">IF(B85="","",IF(P85=0,"",S85*365/P85))</f>
        <v/>
      </c>
      <c r="U85" s="27" t="str">
        <f aca="false">IF(B85="","",IFERROR(S85/INDEX(設定!$C$43:$C$45,MATCH(K85,設定!$B$43:$B$45,0)),""))</f>
        <v/>
      </c>
      <c r="V85" s="7" t="str">
        <f aca="false">IF(B85="","",IF(P85&lt;=設定!$C$6,IF(S85&gt;=設定!$C$7,"I(コア)","II(回転)"),IF(S85&gt;=設定!$C$7,"III(厳選)","IV(見送り)")))</f>
        <v/>
      </c>
      <c r="W85" s="26" t="str">
        <f aca="false">IF(B85="","",IF(L85="在庫中",IF($C$6=0,"",O85/$C$6),""))</f>
        <v/>
      </c>
      <c r="X85" s="21"/>
    </row>
    <row r="86" customFormat="false" ht="15" hidden="false" customHeight="false" outlineLevel="0" collapsed="false">
      <c r="A86" s="18" t="str">
        <f aca="false">IF(B86="","",ROW()-10)</f>
        <v/>
      </c>
      <c r="B86" s="21"/>
      <c r="C86" s="20"/>
      <c r="D86" s="21"/>
      <c r="E86" s="21"/>
      <c r="F86" s="21"/>
      <c r="G86" s="21"/>
      <c r="H86" s="21"/>
      <c r="I86" s="21"/>
      <c r="J86" s="20"/>
      <c r="K86" s="20"/>
      <c r="L86" s="20"/>
      <c r="M86" s="35"/>
      <c r="N86" s="22"/>
      <c r="O86" s="22"/>
      <c r="P86" s="23"/>
      <c r="Q86" s="24" t="str">
        <f aca="false">IF(B86="","",P86*IFERROR(INDEX(設定!$C$43:$C$45,MATCH(K86,設定!$B$43:$B$45,0)),1))</f>
        <v/>
      </c>
      <c r="R86" s="25" t="str">
        <f aca="false">IF(B86="","",O86-N86)</f>
        <v/>
      </c>
      <c r="S86" s="26" t="str">
        <f aca="false">IF(B86="","",IF(N86=0,"",R86/N86))</f>
        <v/>
      </c>
      <c r="T86" s="26" t="str">
        <f aca="false">IF(B86="","",IF(P86=0,"",S86*365/P86))</f>
        <v/>
      </c>
      <c r="U86" s="27" t="str">
        <f aca="false">IF(B86="","",IFERROR(S86/INDEX(設定!$C$43:$C$45,MATCH(K86,設定!$B$43:$B$45,0)),""))</f>
        <v/>
      </c>
      <c r="V86" s="7" t="str">
        <f aca="false">IF(B86="","",IF(P86&lt;=設定!$C$6,IF(S86&gt;=設定!$C$7,"I(コア)","II(回転)"),IF(S86&gt;=設定!$C$7,"III(厳選)","IV(見送り)")))</f>
        <v/>
      </c>
      <c r="W86" s="26" t="str">
        <f aca="false">IF(B86="","",IF(L86="在庫中",IF($C$6=0,"",O86/$C$6),""))</f>
        <v/>
      </c>
      <c r="X86" s="21"/>
    </row>
    <row r="87" customFormat="false" ht="15" hidden="false" customHeight="false" outlineLevel="0" collapsed="false">
      <c r="A87" s="18" t="str">
        <f aca="false">IF(B87="","",ROW()-10)</f>
        <v/>
      </c>
      <c r="B87" s="21"/>
      <c r="C87" s="20"/>
      <c r="D87" s="21"/>
      <c r="E87" s="21"/>
      <c r="F87" s="21"/>
      <c r="G87" s="21"/>
      <c r="H87" s="21"/>
      <c r="I87" s="21"/>
      <c r="J87" s="20"/>
      <c r="K87" s="20"/>
      <c r="L87" s="20"/>
      <c r="M87" s="35"/>
      <c r="N87" s="22"/>
      <c r="O87" s="22"/>
      <c r="P87" s="23"/>
      <c r="Q87" s="24" t="str">
        <f aca="false">IF(B87="","",P87*IFERROR(INDEX(設定!$C$43:$C$45,MATCH(K87,設定!$B$43:$B$45,0)),1))</f>
        <v/>
      </c>
      <c r="R87" s="25" t="str">
        <f aca="false">IF(B87="","",O87-N87)</f>
        <v/>
      </c>
      <c r="S87" s="26" t="str">
        <f aca="false">IF(B87="","",IF(N87=0,"",R87/N87))</f>
        <v/>
      </c>
      <c r="T87" s="26" t="str">
        <f aca="false">IF(B87="","",IF(P87=0,"",S87*365/P87))</f>
        <v/>
      </c>
      <c r="U87" s="27" t="str">
        <f aca="false">IF(B87="","",IFERROR(S87/INDEX(設定!$C$43:$C$45,MATCH(K87,設定!$B$43:$B$45,0)),""))</f>
        <v/>
      </c>
      <c r="V87" s="7" t="str">
        <f aca="false">IF(B87="","",IF(P87&lt;=設定!$C$6,IF(S87&gt;=設定!$C$7,"I(コア)","II(回転)"),IF(S87&gt;=設定!$C$7,"III(厳選)","IV(見送り)")))</f>
        <v/>
      </c>
      <c r="W87" s="26" t="str">
        <f aca="false">IF(B87="","",IF(L87="在庫中",IF($C$6=0,"",O87/$C$6),""))</f>
        <v/>
      </c>
      <c r="X87" s="21"/>
    </row>
    <row r="88" customFormat="false" ht="15" hidden="false" customHeight="false" outlineLevel="0" collapsed="false">
      <c r="A88" s="18" t="str">
        <f aca="false">IF(B88="","",ROW()-10)</f>
        <v/>
      </c>
      <c r="B88" s="21"/>
      <c r="C88" s="20"/>
      <c r="D88" s="21"/>
      <c r="E88" s="21"/>
      <c r="F88" s="21"/>
      <c r="G88" s="21"/>
      <c r="H88" s="21"/>
      <c r="I88" s="21"/>
      <c r="J88" s="20"/>
      <c r="K88" s="20"/>
      <c r="L88" s="20"/>
      <c r="M88" s="35"/>
      <c r="N88" s="22"/>
      <c r="O88" s="22"/>
      <c r="P88" s="23"/>
      <c r="Q88" s="24" t="str">
        <f aca="false">IF(B88="","",P88*IFERROR(INDEX(設定!$C$43:$C$45,MATCH(K88,設定!$B$43:$B$45,0)),1))</f>
        <v/>
      </c>
      <c r="R88" s="25" t="str">
        <f aca="false">IF(B88="","",O88-N88)</f>
        <v/>
      </c>
      <c r="S88" s="26" t="str">
        <f aca="false">IF(B88="","",IF(N88=0,"",R88/N88))</f>
        <v/>
      </c>
      <c r="T88" s="26" t="str">
        <f aca="false">IF(B88="","",IF(P88=0,"",S88*365/P88))</f>
        <v/>
      </c>
      <c r="U88" s="27" t="str">
        <f aca="false">IF(B88="","",IFERROR(S88/INDEX(設定!$C$43:$C$45,MATCH(K88,設定!$B$43:$B$45,0)),""))</f>
        <v/>
      </c>
      <c r="V88" s="7" t="str">
        <f aca="false">IF(B88="","",IF(P88&lt;=設定!$C$6,IF(S88&gt;=設定!$C$7,"I(コア)","II(回転)"),IF(S88&gt;=設定!$C$7,"III(厳選)","IV(見送り)")))</f>
        <v/>
      </c>
      <c r="W88" s="26" t="str">
        <f aca="false">IF(B88="","",IF(L88="在庫中",IF($C$6=0,"",O88/$C$6),""))</f>
        <v/>
      </c>
      <c r="X88" s="21"/>
    </row>
    <row r="89" customFormat="false" ht="15" hidden="false" customHeight="false" outlineLevel="0" collapsed="false">
      <c r="A89" s="18" t="str">
        <f aca="false">IF(B89="","",ROW()-10)</f>
        <v/>
      </c>
      <c r="B89" s="21"/>
      <c r="C89" s="20"/>
      <c r="D89" s="21"/>
      <c r="E89" s="21"/>
      <c r="F89" s="21"/>
      <c r="G89" s="21"/>
      <c r="H89" s="21"/>
      <c r="I89" s="21"/>
      <c r="J89" s="20"/>
      <c r="K89" s="20"/>
      <c r="L89" s="20"/>
      <c r="M89" s="35"/>
      <c r="N89" s="22"/>
      <c r="O89" s="22"/>
      <c r="P89" s="23"/>
      <c r="Q89" s="24" t="str">
        <f aca="false">IF(B89="","",P89*IFERROR(INDEX(設定!$C$43:$C$45,MATCH(K89,設定!$B$43:$B$45,0)),1))</f>
        <v/>
      </c>
      <c r="R89" s="25" t="str">
        <f aca="false">IF(B89="","",O89-N89)</f>
        <v/>
      </c>
      <c r="S89" s="26" t="str">
        <f aca="false">IF(B89="","",IF(N89=0,"",R89/N89))</f>
        <v/>
      </c>
      <c r="T89" s="26" t="str">
        <f aca="false">IF(B89="","",IF(P89=0,"",S89*365/P89))</f>
        <v/>
      </c>
      <c r="U89" s="27" t="str">
        <f aca="false">IF(B89="","",IFERROR(S89/INDEX(設定!$C$43:$C$45,MATCH(K89,設定!$B$43:$B$45,0)),""))</f>
        <v/>
      </c>
      <c r="V89" s="7" t="str">
        <f aca="false">IF(B89="","",IF(P89&lt;=設定!$C$6,IF(S89&gt;=設定!$C$7,"I(コア)","II(回転)"),IF(S89&gt;=設定!$C$7,"III(厳選)","IV(見送り)")))</f>
        <v/>
      </c>
      <c r="W89" s="26" t="str">
        <f aca="false">IF(B89="","",IF(L89="在庫中",IF($C$6=0,"",O89/$C$6),""))</f>
        <v/>
      </c>
      <c r="X89" s="21"/>
    </row>
    <row r="90" customFormat="false" ht="15" hidden="false" customHeight="false" outlineLevel="0" collapsed="false">
      <c r="A90" s="18" t="str">
        <f aca="false">IF(B90="","",ROW()-10)</f>
        <v/>
      </c>
      <c r="B90" s="21"/>
      <c r="C90" s="20"/>
      <c r="D90" s="21"/>
      <c r="E90" s="21"/>
      <c r="F90" s="21"/>
      <c r="G90" s="21"/>
      <c r="H90" s="21"/>
      <c r="I90" s="21"/>
      <c r="J90" s="20"/>
      <c r="K90" s="20"/>
      <c r="L90" s="20"/>
      <c r="M90" s="35"/>
      <c r="N90" s="22"/>
      <c r="O90" s="22"/>
      <c r="P90" s="23"/>
      <c r="Q90" s="24" t="str">
        <f aca="false">IF(B90="","",P90*IFERROR(INDEX(設定!$C$43:$C$45,MATCH(K90,設定!$B$43:$B$45,0)),1))</f>
        <v/>
      </c>
      <c r="R90" s="25" t="str">
        <f aca="false">IF(B90="","",O90-N90)</f>
        <v/>
      </c>
      <c r="S90" s="26" t="str">
        <f aca="false">IF(B90="","",IF(N90=0,"",R90/N90))</f>
        <v/>
      </c>
      <c r="T90" s="26" t="str">
        <f aca="false">IF(B90="","",IF(P90=0,"",S90*365/P90))</f>
        <v/>
      </c>
      <c r="U90" s="27" t="str">
        <f aca="false">IF(B90="","",IFERROR(S90/INDEX(設定!$C$43:$C$45,MATCH(K90,設定!$B$43:$B$45,0)),""))</f>
        <v/>
      </c>
      <c r="V90" s="7" t="str">
        <f aca="false">IF(B90="","",IF(P90&lt;=設定!$C$6,IF(S90&gt;=設定!$C$7,"I(コア)","II(回転)"),IF(S90&gt;=設定!$C$7,"III(厳選)","IV(見送り)")))</f>
        <v/>
      </c>
      <c r="W90" s="26" t="str">
        <f aca="false">IF(B90="","",IF(L90="在庫中",IF($C$6=0,"",O90/$C$6),""))</f>
        <v/>
      </c>
      <c r="X90" s="21"/>
    </row>
    <row r="91" customFormat="false" ht="15" hidden="false" customHeight="false" outlineLevel="0" collapsed="false">
      <c r="A91" s="18" t="str">
        <f aca="false">IF(B91="","",ROW()-10)</f>
        <v/>
      </c>
      <c r="B91" s="21"/>
      <c r="C91" s="20"/>
      <c r="D91" s="21"/>
      <c r="E91" s="21"/>
      <c r="F91" s="21"/>
      <c r="G91" s="21"/>
      <c r="H91" s="21"/>
      <c r="I91" s="21"/>
      <c r="J91" s="20"/>
      <c r="K91" s="20"/>
      <c r="L91" s="20"/>
      <c r="M91" s="35"/>
      <c r="N91" s="22"/>
      <c r="O91" s="22"/>
      <c r="P91" s="23"/>
      <c r="Q91" s="24" t="str">
        <f aca="false">IF(B91="","",P91*IFERROR(INDEX(設定!$C$43:$C$45,MATCH(K91,設定!$B$43:$B$45,0)),1))</f>
        <v/>
      </c>
      <c r="R91" s="25" t="str">
        <f aca="false">IF(B91="","",O91-N91)</f>
        <v/>
      </c>
      <c r="S91" s="26" t="str">
        <f aca="false">IF(B91="","",IF(N91=0,"",R91/N91))</f>
        <v/>
      </c>
      <c r="T91" s="26" t="str">
        <f aca="false">IF(B91="","",IF(P91=0,"",S91*365/P91))</f>
        <v/>
      </c>
      <c r="U91" s="27" t="str">
        <f aca="false">IF(B91="","",IFERROR(S91/INDEX(設定!$C$43:$C$45,MATCH(K91,設定!$B$43:$B$45,0)),""))</f>
        <v/>
      </c>
      <c r="V91" s="7" t="str">
        <f aca="false">IF(B91="","",IF(P91&lt;=設定!$C$6,IF(S91&gt;=設定!$C$7,"I(コア)","II(回転)"),IF(S91&gt;=設定!$C$7,"III(厳選)","IV(見送り)")))</f>
        <v/>
      </c>
      <c r="W91" s="26" t="str">
        <f aca="false">IF(B91="","",IF(L91="在庫中",IF($C$6=0,"",O91/$C$6),""))</f>
        <v/>
      </c>
      <c r="X91" s="21"/>
    </row>
    <row r="92" customFormat="false" ht="15" hidden="false" customHeight="false" outlineLevel="0" collapsed="false">
      <c r="A92" s="18" t="str">
        <f aca="false">IF(B92="","",ROW()-10)</f>
        <v/>
      </c>
      <c r="B92" s="21"/>
      <c r="C92" s="20"/>
      <c r="D92" s="21"/>
      <c r="E92" s="21"/>
      <c r="F92" s="21"/>
      <c r="G92" s="21"/>
      <c r="H92" s="21"/>
      <c r="I92" s="21"/>
      <c r="J92" s="20"/>
      <c r="K92" s="20"/>
      <c r="L92" s="20"/>
      <c r="M92" s="35"/>
      <c r="N92" s="22"/>
      <c r="O92" s="22"/>
      <c r="P92" s="23"/>
      <c r="Q92" s="24" t="str">
        <f aca="false">IF(B92="","",P92*IFERROR(INDEX(設定!$C$43:$C$45,MATCH(K92,設定!$B$43:$B$45,0)),1))</f>
        <v/>
      </c>
      <c r="R92" s="25" t="str">
        <f aca="false">IF(B92="","",O92-N92)</f>
        <v/>
      </c>
      <c r="S92" s="26" t="str">
        <f aca="false">IF(B92="","",IF(N92=0,"",R92/N92))</f>
        <v/>
      </c>
      <c r="T92" s="26" t="str">
        <f aca="false">IF(B92="","",IF(P92=0,"",S92*365/P92))</f>
        <v/>
      </c>
      <c r="U92" s="27" t="str">
        <f aca="false">IF(B92="","",IFERROR(S92/INDEX(設定!$C$43:$C$45,MATCH(K92,設定!$B$43:$B$45,0)),""))</f>
        <v/>
      </c>
      <c r="V92" s="7" t="str">
        <f aca="false">IF(B92="","",IF(P92&lt;=設定!$C$6,IF(S92&gt;=設定!$C$7,"I(コア)","II(回転)"),IF(S92&gt;=設定!$C$7,"III(厳選)","IV(見送り)")))</f>
        <v/>
      </c>
      <c r="W92" s="26" t="str">
        <f aca="false">IF(B92="","",IF(L92="在庫中",IF($C$6=0,"",O92/$C$6),""))</f>
        <v/>
      </c>
      <c r="X92" s="21"/>
    </row>
    <row r="93" customFormat="false" ht="15" hidden="false" customHeight="false" outlineLevel="0" collapsed="false">
      <c r="A93" s="18" t="str">
        <f aca="false">IF(B93="","",ROW()-10)</f>
        <v/>
      </c>
      <c r="B93" s="21"/>
      <c r="C93" s="20"/>
      <c r="D93" s="21"/>
      <c r="E93" s="21"/>
      <c r="F93" s="21"/>
      <c r="G93" s="21"/>
      <c r="H93" s="21"/>
      <c r="I93" s="21"/>
      <c r="J93" s="20"/>
      <c r="K93" s="20"/>
      <c r="L93" s="20"/>
      <c r="M93" s="35"/>
      <c r="N93" s="22"/>
      <c r="O93" s="22"/>
      <c r="P93" s="23"/>
      <c r="Q93" s="24" t="str">
        <f aca="false">IF(B93="","",P93*IFERROR(INDEX(設定!$C$43:$C$45,MATCH(K93,設定!$B$43:$B$45,0)),1))</f>
        <v/>
      </c>
      <c r="R93" s="25" t="str">
        <f aca="false">IF(B93="","",O93-N93)</f>
        <v/>
      </c>
      <c r="S93" s="26" t="str">
        <f aca="false">IF(B93="","",IF(N93=0,"",R93/N93))</f>
        <v/>
      </c>
      <c r="T93" s="26" t="str">
        <f aca="false">IF(B93="","",IF(P93=0,"",S93*365/P93))</f>
        <v/>
      </c>
      <c r="U93" s="27" t="str">
        <f aca="false">IF(B93="","",IFERROR(S93/INDEX(設定!$C$43:$C$45,MATCH(K93,設定!$B$43:$B$45,0)),""))</f>
        <v/>
      </c>
      <c r="V93" s="7" t="str">
        <f aca="false">IF(B93="","",IF(P93&lt;=設定!$C$6,IF(S93&gt;=設定!$C$7,"I(コア)","II(回転)"),IF(S93&gt;=設定!$C$7,"III(厳選)","IV(見送り)")))</f>
        <v/>
      </c>
      <c r="W93" s="26" t="str">
        <f aca="false">IF(B93="","",IF(L93="在庫中",IF($C$6=0,"",O93/$C$6),""))</f>
        <v/>
      </c>
      <c r="X93" s="21"/>
    </row>
    <row r="94" customFormat="false" ht="15" hidden="false" customHeight="false" outlineLevel="0" collapsed="false">
      <c r="A94" s="18" t="str">
        <f aca="false">IF(B94="","",ROW()-10)</f>
        <v/>
      </c>
      <c r="B94" s="21"/>
      <c r="C94" s="20"/>
      <c r="D94" s="21"/>
      <c r="E94" s="21"/>
      <c r="F94" s="21"/>
      <c r="G94" s="21"/>
      <c r="H94" s="21"/>
      <c r="I94" s="21"/>
      <c r="J94" s="20"/>
      <c r="K94" s="20"/>
      <c r="L94" s="20"/>
      <c r="M94" s="35"/>
      <c r="N94" s="22"/>
      <c r="O94" s="22"/>
      <c r="P94" s="23"/>
      <c r="Q94" s="24" t="str">
        <f aca="false">IF(B94="","",P94*IFERROR(INDEX(設定!$C$43:$C$45,MATCH(K94,設定!$B$43:$B$45,0)),1))</f>
        <v/>
      </c>
      <c r="R94" s="25" t="str">
        <f aca="false">IF(B94="","",O94-N94)</f>
        <v/>
      </c>
      <c r="S94" s="26" t="str">
        <f aca="false">IF(B94="","",IF(N94=0,"",R94/N94))</f>
        <v/>
      </c>
      <c r="T94" s="26" t="str">
        <f aca="false">IF(B94="","",IF(P94=0,"",S94*365/P94))</f>
        <v/>
      </c>
      <c r="U94" s="27" t="str">
        <f aca="false">IF(B94="","",IFERROR(S94/INDEX(設定!$C$43:$C$45,MATCH(K94,設定!$B$43:$B$45,0)),""))</f>
        <v/>
      </c>
      <c r="V94" s="7" t="str">
        <f aca="false">IF(B94="","",IF(P94&lt;=設定!$C$6,IF(S94&gt;=設定!$C$7,"I(コア)","II(回転)"),IF(S94&gt;=設定!$C$7,"III(厳選)","IV(見送り)")))</f>
        <v/>
      </c>
      <c r="W94" s="26" t="str">
        <f aca="false">IF(B94="","",IF(L94="在庫中",IF($C$6=0,"",O94/$C$6),""))</f>
        <v/>
      </c>
      <c r="X94" s="21"/>
    </row>
    <row r="95" customFormat="false" ht="15" hidden="false" customHeight="false" outlineLevel="0" collapsed="false">
      <c r="A95" s="18" t="str">
        <f aca="false">IF(B95="","",ROW()-10)</f>
        <v/>
      </c>
      <c r="B95" s="21"/>
      <c r="C95" s="20"/>
      <c r="D95" s="21"/>
      <c r="E95" s="21"/>
      <c r="F95" s="21"/>
      <c r="G95" s="21"/>
      <c r="H95" s="21"/>
      <c r="I95" s="21"/>
      <c r="J95" s="20"/>
      <c r="K95" s="20"/>
      <c r="L95" s="20"/>
      <c r="M95" s="35"/>
      <c r="N95" s="22"/>
      <c r="O95" s="22"/>
      <c r="P95" s="23"/>
      <c r="Q95" s="24" t="str">
        <f aca="false">IF(B95="","",P95*IFERROR(INDEX(設定!$C$43:$C$45,MATCH(K95,設定!$B$43:$B$45,0)),1))</f>
        <v/>
      </c>
      <c r="R95" s="25" t="str">
        <f aca="false">IF(B95="","",O95-N95)</f>
        <v/>
      </c>
      <c r="S95" s="26" t="str">
        <f aca="false">IF(B95="","",IF(N95=0,"",R95/N95))</f>
        <v/>
      </c>
      <c r="T95" s="26" t="str">
        <f aca="false">IF(B95="","",IF(P95=0,"",S95*365/P95))</f>
        <v/>
      </c>
      <c r="U95" s="27" t="str">
        <f aca="false">IF(B95="","",IFERROR(S95/INDEX(設定!$C$43:$C$45,MATCH(K95,設定!$B$43:$B$45,0)),""))</f>
        <v/>
      </c>
      <c r="V95" s="7" t="str">
        <f aca="false">IF(B95="","",IF(P95&lt;=設定!$C$6,IF(S95&gt;=設定!$C$7,"I(コア)","II(回転)"),IF(S95&gt;=設定!$C$7,"III(厳選)","IV(見送り)")))</f>
        <v/>
      </c>
      <c r="W95" s="26" t="str">
        <f aca="false">IF(B95="","",IF(L95="在庫中",IF($C$6=0,"",O95/$C$6),""))</f>
        <v/>
      </c>
      <c r="X95" s="21"/>
    </row>
    <row r="96" customFormat="false" ht="15" hidden="false" customHeight="false" outlineLevel="0" collapsed="false">
      <c r="A96" s="18" t="str">
        <f aca="false">IF(B96="","",ROW()-10)</f>
        <v/>
      </c>
      <c r="B96" s="21"/>
      <c r="C96" s="20"/>
      <c r="D96" s="21"/>
      <c r="E96" s="21"/>
      <c r="F96" s="21"/>
      <c r="G96" s="21"/>
      <c r="H96" s="21"/>
      <c r="I96" s="21"/>
      <c r="J96" s="20"/>
      <c r="K96" s="20"/>
      <c r="L96" s="20"/>
      <c r="M96" s="35"/>
      <c r="N96" s="22"/>
      <c r="O96" s="22"/>
      <c r="P96" s="23"/>
      <c r="Q96" s="24" t="str">
        <f aca="false">IF(B96="","",P96*IFERROR(INDEX(設定!$C$43:$C$45,MATCH(K96,設定!$B$43:$B$45,0)),1))</f>
        <v/>
      </c>
      <c r="R96" s="25" t="str">
        <f aca="false">IF(B96="","",O96-N96)</f>
        <v/>
      </c>
      <c r="S96" s="26" t="str">
        <f aca="false">IF(B96="","",IF(N96=0,"",R96/N96))</f>
        <v/>
      </c>
      <c r="T96" s="26" t="str">
        <f aca="false">IF(B96="","",IF(P96=0,"",S96*365/P96))</f>
        <v/>
      </c>
      <c r="U96" s="27" t="str">
        <f aca="false">IF(B96="","",IFERROR(S96/INDEX(設定!$C$43:$C$45,MATCH(K96,設定!$B$43:$B$45,0)),""))</f>
        <v/>
      </c>
      <c r="V96" s="7" t="str">
        <f aca="false">IF(B96="","",IF(P96&lt;=設定!$C$6,IF(S96&gt;=設定!$C$7,"I(コア)","II(回転)"),IF(S96&gt;=設定!$C$7,"III(厳選)","IV(見送り)")))</f>
        <v/>
      </c>
      <c r="W96" s="26" t="str">
        <f aca="false">IF(B96="","",IF(L96="在庫中",IF($C$6=0,"",O96/$C$6),""))</f>
        <v/>
      </c>
      <c r="X96" s="21"/>
    </row>
    <row r="97" customFormat="false" ht="15" hidden="false" customHeight="false" outlineLevel="0" collapsed="false">
      <c r="A97" s="18" t="str">
        <f aca="false">IF(B97="","",ROW()-10)</f>
        <v/>
      </c>
      <c r="B97" s="21"/>
      <c r="C97" s="20"/>
      <c r="D97" s="21"/>
      <c r="E97" s="21"/>
      <c r="F97" s="21"/>
      <c r="G97" s="21"/>
      <c r="H97" s="21"/>
      <c r="I97" s="21"/>
      <c r="J97" s="20"/>
      <c r="K97" s="20"/>
      <c r="L97" s="20"/>
      <c r="M97" s="35"/>
      <c r="N97" s="22"/>
      <c r="O97" s="22"/>
      <c r="P97" s="23"/>
      <c r="Q97" s="24" t="str">
        <f aca="false">IF(B97="","",P97*IFERROR(INDEX(設定!$C$43:$C$45,MATCH(K97,設定!$B$43:$B$45,0)),1))</f>
        <v/>
      </c>
      <c r="R97" s="25" t="str">
        <f aca="false">IF(B97="","",O97-N97)</f>
        <v/>
      </c>
      <c r="S97" s="26" t="str">
        <f aca="false">IF(B97="","",IF(N97=0,"",R97/N97))</f>
        <v/>
      </c>
      <c r="T97" s="26" t="str">
        <f aca="false">IF(B97="","",IF(P97=0,"",S97*365/P97))</f>
        <v/>
      </c>
      <c r="U97" s="27" t="str">
        <f aca="false">IF(B97="","",IFERROR(S97/INDEX(設定!$C$43:$C$45,MATCH(K97,設定!$B$43:$B$45,0)),""))</f>
        <v/>
      </c>
      <c r="V97" s="7" t="str">
        <f aca="false">IF(B97="","",IF(P97&lt;=設定!$C$6,IF(S97&gt;=設定!$C$7,"I(コア)","II(回転)"),IF(S97&gt;=設定!$C$7,"III(厳選)","IV(見送り)")))</f>
        <v/>
      </c>
      <c r="W97" s="26" t="str">
        <f aca="false">IF(B97="","",IF(L97="在庫中",IF($C$6=0,"",O97/$C$6),""))</f>
        <v/>
      </c>
      <c r="X97" s="21"/>
    </row>
    <row r="98" customFormat="false" ht="15" hidden="false" customHeight="false" outlineLevel="0" collapsed="false">
      <c r="A98" s="18" t="str">
        <f aca="false">IF(B98="","",ROW()-10)</f>
        <v/>
      </c>
      <c r="B98" s="21"/>
      <c r="C98" s="20"/>
      <c r="D98" s="21"/>
      <c r="E98" s="21"/>
      <c r="F98" s="21"/>
      <c r="G98" s="21"/>
      <c r="H98" s="21"/>
      <c r="I98" s="21"/>
      <c r="J98" s="20"/>
      <c r="K98" s="20"/>
      <c r="L98" s="20"/>
      <c r="M98" s="35"/>
      <c r="N98" s="22"/>
      <c r="O98" s="22"/>
      <c r="P98" s="23"/>
      <c r="Q98" s="24" t="str">
        <f aca="false">IF(B98="","",P98*IFERROR(INDEX(設定!$C$43:$C$45,MATCH(K98,設定!$B$43:$B$45,0)),1))</f>
        <v/>
      </c>
      <c r="R98" s="25" t="str">
        <f aca="false">IF(B98="","",O98-N98)</f>
        <v/>
      </c>
      <c r="S98" s="26" t="str">
        <f aca="false">IF(B98="","",IF(N98=0,"",R98/N98))</f>
        <v/>
      </c>
      <c r="T98" s="26" t="str">
        <f aca="false">IF(B98="","",IF(P98=0,"",S98*365/P98))</f>
        <v/>
      </c>
      <c r="U98" s="27" t="str">
        <f aca="false">IF(B98="","",IFERROR(S98/INDEX(設定!$C$43:$C$45,MATCH(K98,設定!$B$43:$B$45,0)),""))</f>
        <v/>
      </c>
      <c r="V98" s="7" t="str">
        <f aca="false">IF(B98="","",IF(P98&lt;=設定!$C$6,IF(S98&gt;=設定!$C$7,"I(コア)","II(回転)"),IF(S98&gt;=設定!$C$7,"III(厳選)","IV(見送り)")))</f>
        <v/>
      </c>
      <c r="W98" s="26" t="str">
        <f aca="false">IF(B98="","",IF(L98="在庫中",IF($C$6=0,"",O98/$C$6),""))</f>
        <v/>
      </c>
      <c r="X98" s="21"/>
    </row>
    <row r="99" customFormat="false" ht="15" hidden="false" customHeight="false" outlineLevel="0" collapsed="false">
      <c r="A99" s="18" t="str">
        <f aca="false">IF(B99="","",ROW()-10)</f>
        <v/>
      </c>
      <c r="B99" s="21"/>
      <c r="C99" s="20"/>
      <c r="D99" s="21"/>
      <c r="E99" s="21"/>
      <c r="F99" s="21"/>
      <c r="G99" s="21"/>
      <c r="H99" s="21"/>
      <c r="I99" s="21"/>
      <c r="J99" s="20"/>
      <c r="K99" s="20"/>
      <c r="L99" s="20"/>
      <c r="M99" s="35"/>
      <c r="N99" s="22"/>
      <c r="O99" s="22"/>
      <c r="P99" s="23"/>
      <c r="Q99" s="24" t="str">
        <f aca="false">IF(B99="","",P99*IFERROR(INDEX(設定!$C$43:$C$45,MATCH(K99,設定!$B$43:$B$45,0)),1))</f>
        <v/>
      </c>
      <c r="R99" s="25" t="str">
        <f aca="false">IF(B99="","",O99-N99)</f>
        <v/>
      </c>
      <c r="S99" s="26" t="str">
        <f aca="false">IF(B99="","",IF(N99=0,"",R99/N99))</f>
        <v/>
      </c>
      <c r="T99" s="26" t="str">
        <f aca="false">IF(B99="","",IF(P99=0,"",S99*365/P99))</f>
        <v/>
      </c>
      <c r="U99" s="27" t="str">
        <f aca="false">IF(B99="","",IFERROR(S99/INDEX(設定!$C$43:$C$45,MATCH(K99,設定!$B$43:$B$45,0)),""))</f>
        <v/>
      </c>
      <c r="V99" s="7" t="str">
        <f aca="false">IF(B99="","",IF(P99&lt;=設定!$C$6,IF(S99&gt;=設定!$C$7,"I(コア)","II(回転)"),IF(S99&gt;=設定!$C$7,"III(厳選)","IV(見送り)")))</f>
        <v/>
      </c>
      <c r="W99" s="26" t="str">
        <f aca="false">IF(B99="","",IF(L99="在庫中",IF($C$6=0,"",O99/$C$6),""))</f>
        <v/>
      </c>
      <c r="X99" s="21"/>
    </row>
    <row r="100" customFormat="false" ht="15" hidden="false" customHeight="false" outlineLevel="0" collapsed="false">
      <c r="A100" s="18" t="str">
        <f aca="false">IF(B100="","",ROW()-10)</f>
        <v/>
      </c>
      <c r="B100" s="21"/>
      <c r="C100" s="20"/>
      <c r="D100" s="21"/>
      <c r="E100" s="21"/>
      <c r="F100" s="21"/>
      <c r="G100" s="21"/>
      <c r="H100" s="21"/>
      <c r="I100" s="21"/>
      <c r="J100" s="20"/>
      <c r="K100" s="20"/>
      <c r="L100" s="20"/>
      <c r="M100" s="35"/>
      <c r="N100" s="22"/>
      <c r="O100" s="22"/>
      <c r="P100" s="23"/>
      <c r="Q100" s="24" t="str">
        <f aca="false">IF(B100="","",P100*IFERROR(INDEX(設定!$C$43:$C$45,MATCH(K100,設定!$B$43:$B$45,0)),1))</f>
        <v/>
      </c>
      <c r="R100" s="25" t="str">
        <f aca="false">IF(B100="","",O100-N100)</f>
        <v/>
      </c>
      <c r="S100" s="26" t="str">
        <f aca="false">IF(B100="","",IF(N100=0,"",R100/N100))</f>
        <v/>
      </c>
      <c r="T100" s="26" t="str">
        <f aca="false">IF(B100="","",IF(P100=0,"",S100*365/P100))</f>
        <v/>
      </c>
      <c r="U100" s="27" t="str">
        <f aca="false">IF(B100="","",IFERROR(S100/INDEX(設定!$C$43:$C$45,MATCH(K100,設定!$B$43:$B$45,0)),""))</f>
        <v/>
      </c>
      <c r="V100" s="7" t="str">
        <f aca="false">IF(B100="","",IF(P100&lt;=設定!$C$6,IF(S100&gt;=設定!$C$7,"I(コア)","II(回転)"),IF(S100&gt;=設定!$C$7,"III(厳選)","IV(見送り)")))</f>
        <v/>
      </c>
      <c r="W100" s="26" t="str">
        <f aca="false">IF(B100="","",IF(L100="在庫中",IF($C$6=0,"",O100/$C$6),""))</f>
        <v/>
      </c>
      <c r="X100" s="21"/>
    </row>
    <row r="101" customFormat="false" ht="15" hidden="false" customHeight="false" outlineLevel="0" collapsed="false">
      <c r="A101" s="18" t="str">
        <f aca="false">IF(B101="","",ROW()-10)</f>
        <v/>
      </c>
      <c r="B101" s="21"/>
      <c r="C101" s="20"/>
      <c r="D101" s="21"/>
      <c r="E101" s="21"/>
      <c r="F101" s="21"/>
      <c r="G101" s="21"/>
      <c r="H101" s="21"/>
      <c r="I101" s="21"/>
      <c r="J101" s="20"/>
      <c r="K101" s="20"/>
      <c r="L101" s="20"/>
      <c r="M101" s="35"/>
      <c r="N101" s="22"/>
      <c r="O101" s="22"/>
      <c r="P101" s="23"/>
      <c r="Q101" s="24" t="str">
        <f aca="false">IF(B101="","",P101*IFERROR(INDEX(設定!$C$43:$C$45,MATCH(K101,設定!$B$43:$B$45,0)),1))</f>
        <v/>
      </c>
      <c r="R101" s="25" t="str">
        <f aca="false">IF(B101="","",O101-N101)</f>
        <v/>
      </c>
      <c r="S101" s="26" t="str">
        <f aca="false">IF(B101="","",IF(N101=0,"",R101/N101))</f>
        <v/>
      </c>
      <c r="T101" s="26" t="str">
        <f aca="false">IF(B101="","",IF(P101=0,"",S101*365/P101))</f>
        <v/>
      </c>
      <c r="U101" s="27" t="str">
        <f aca="false">IF(B101="","",IFERROR(S101/INDEX(設定!$C$43:$C$45,MATCH(K101,設定!$B$43:$B$45,0)),""))</f>
        <v/>
      </c>
      <c r="V101" s="7" t="str">
        <f aca="false">IF(B101="","",IF(P101&lt;=設定!$C$6,IF(S101&gt;=設定!$C$7,"I(コア)","II(回転)"),IF(S101&gt;=設定!$C$7,"III(厳選)","IV(見送り)")))</f>
        <v/>
      </c>
      <c r="W101" s="26" t="str">
        <f aca="false">IF(B101="","",IF(L101="在庫中",IF($C$6=0,"",O101/$C$6),""))</f>
        <v/>
      </c>
      <c r="X101" s="21"/>
    </row>
    <row r="102" customFormat="false" ht="15" hidden="false" customHeight="false" outlineLevel="0" collapsed="false">
      <c r="A102" s="18" t="str">
        <f aca="false">IF(B102="","",ROW()-10)</f>
        <v/>
      </c>
      <c r="B102" s="21"/>
      <c r="C102" s="20"/>
      <c r="D102" s="21"/>
      <c r="E102" s="21"/>
      <c r="F102" s="21"/>
      <c r="G102" s="21"/>
      <c r="H102" s="21"/>
      <c r="I102" s="21"/>
      <c r="J102" s="20"/>
      <c r="K102" s="20"/>
      <c r="L102" s="20"/>
      <c r="M102" s="35"/>
      <c r="N102" s="22"/>
      <c r="O102" s="22"/>
      <c r="P102" s="23"/>
      <c r="Q102" s="24" t="str">
        <f aca="false">IF(B102="","",P102*IFERROR(INDEX(設定!$C$43:$C$45,MATCH(K102,設定!$B$43:$B$45,0)),1))</f>
        <v/>
      </c>
      <c r="R102" s="25" t="str">
        <f aca="false">IF(B102="","",O102-N102)</f>
        <v/>
      </c>
      <c r="S102" s="26" t="str">
        <f aca="false">IF(B102="","",IF(N102=0,"",R102/N102))</f>
        <v/>
      </c>
      <c r="T102" s="26" t="str">
        <f aca="false">IF(B102="","",IF(P102=0,"",S102*365/P102))</f>
        <v/>
      </c>
      <c r="U102" s="27" t="str">
        <f aca="false">IF(B102="","",IFERROR(S102/INDEX(設定!$C$43:$C$45,MATCH(K102,設定!$B$43:$B$45,0)),""))</f>
        <v/>
      </c>
      <c r="V102" s="7" t="str">
        <f aca="false">IF(B102="","",IF(P102&lt;=設定!$C$6,IF(S102&gt;=設定!$C$7,"I(コア)","II(回転)"),IF(S102&gt;=設定!$C$7,"III(厳選)","IV(見送り)")))</f>
        <v/>
      </c>
      <c r="W102" s="26" t="str">
        <f aca="false">IF(B102="","",IF(L102="在庫中",IF($C$6=0,"",O102/$C$6),""))</f>
        <v/>
      </c>
      <c r="X102" s="21"/>
    </row>
    <row r="103" customFormat="false" ht="15" hidden="false" customHeight="false" outlineLevel="0" collapsed="false">
      <c r="A103" s="18" t="str">
        <f aca="false">IF(B103="","",ROW()-10)</f>
        <v/>
      </c>
      <c r="B103" s="21"/>
      <c r="C103" s="20"/>
      <c r="D103" s="21"/>
      <c r="E103" s="21"/>
      <c r="F103" s="21"/>
      <c r="G103" s="21"/>
      <c r="H103" s="21"/>
      <c r="I103" s="21"/>
      <c r="J103" s="20"/>
      <c r="K103" s="20"/>
      <c r="L103" s="20"/>
      <c r="M103" s="35"/>
      <c r="N103" s="22"/>
      <c r="O103" s="22"/>
      <c r="P103" s="23"/>
      <c r="Q103" s="24" t="str">
        <f aca="false">IF(B103="","",P103*IFERROR(INDEX(設定!$C$43:$C$45,MATCH(K103,設定!$B$43:$B$45,0)),1))</f>
        <v/>
      </c>
      <c r="R103" s="25" t="str">
        <f aca="false">IF(B103="","",O103-N103)</f>
        <v/>
      </c>
      <c r="S103" s="26" t="str">
        <f aca="false">IF(B103="","",IF(N103=0,"",R103/N103))</f>
        <v/>
      </c>
      <c r="T103" s="26" t="str">
        <f aca="false">IF(B103="","",IF(P103=0,"",S103*365/P103))</f>
        <v/>
      </c>
      <c r="U103" s="27" t="str">
        <f aca="false">IF(B103="","",IFERROR(S103/INDEX(設定!$C$43:$C$45,MATCH(K103,設定!$B$43:$B$45,0)),""))</f>
        <v/>
      </c>
      <c r="V103" s="7" t="str">
        <f aca="false">IF(B103="","",IF(P103&lt;=設定!$C$6,IF(S103&gt;=設定!$C$7,"I(コア)","II(回転)"),IF(S103&gt;=設定!$C$7,"III(厳選)","IV(見送り)")))</f>
        <v/>
      </c>
      <c r="W103" s="26" t="str">
        <f aca="false">IF(B103="","",IF(L103="在庫中",IF($C$6=0,"",O103/$C$6),""))</f>
        <v/>
      </c>
      <c r="X103" s="21"/>
    </row>
    <row r="104" customFormat="false" ht="15" hidden="false" customHeight="false" outlineLevel="0" collapsed="false">
      <c r="A104" s="18" t="str">
        <f aca="false">IF(B104="","",ROW()-10)</f>
        <v/>
      </c>
      <c r="B104" s="21"/>
      <c r="C104" s="20"/>
      <c r="D104" s="21"/>
      <c r="E104" s="21"/>
      <c r="F104" s="21"/>
      <c r="G104" s="21"/>
      <c r="H104" s="21"/>
      <c r="I104" s="21"/>
      <c r="J104" s="20"/>
      <c r="K104" s="20"/>
      <c r="L104" s="20"/>
      <c r="M104" s="35"/>
      <c r="N104" s="22"/>
      <c r="O104" s="22"/>
      <c r="P104" s="23"/>
      <c r="Q104" s="24" t="str">
        <f aca="false">IF(B104="","",P104*IFERROR(INDEX(設定!$C$43:$C$45,MATCH(K104,設定!$B$43:$B$45,0)),1))</f>
        <v/>
      </c>
      <c r="R104" s="25" t="str">
        <f aca="false">IF(B104="","",O104-N104)</f>
        <v/>
      </c>
      <c r="S104" s="26" t="str">
        <f aca="false">IF(B104="","",IF(N104=0,"",R104/N104))</f>
        <v/>
      </c>
      <c r="T104" s="26" t="str">
        <f aca="false">IF(B104="","",IF(P104=0,"",S104*365/P104))</f>
        <v/>
      </c>
      <c r="U104" s="27" t="str">
        <f aca="false">IF(B104="","",IFERROR(S104/INDEX(設定!$C$43:$C$45,MATCH(K104,設定!$B$43:$B$45,0)),""))</f>
        <v/>
      </c>
      <c r="V104" s="7" t="str">
        <f aca="false">IF(B104="","",IF(P104&lt;=設定!$C$6,IF(S104&gt;=設定!$C$7,"I(コア)","II(回転)"),IF(S104&gt;=設定!$C$7,"III(厳選)","IV(見送り)")))</f>
        <v/>
      </c>
      <c r="W104" s="26" t="str">
        <f aca="false">IF(B104="","",IF(L104="在庫中",IF($C$6=0,"",O104/$C$6),""))</f>
        <v/>
      </c>
      <c r="X104" s="21"/>
    </row>
    <row r="105" customFormat="false" ht="15" hidden="false" customHeight="false" outlineLevel="0" collapsed="false">
      <c r="A105" s="18" t="str">
        <f aca="false">IF(B105="","",ROW()-10)</f>
        <v/>
      </c>
      <c r="B105" s="21"/>
      <c r="C105" s="20"/>
      <c r="D105" s="21"/>
      <c r="E105" s="21"/>
      <c r="F105" s="21"/>
      <c r="G105" s="21"/>
      <c r="H105" s="21"/>
      <c r="I105" s="21"/>
      <c r="J105" s="20"/>
      <c r="K105" s="20"/>
      <c r="L105" s="20"/>
      <c r="M105" s="35"/>
      <c r="N105" s="22"/>
      <c r="O105" s="22"/>
      <c r="P105" s="23"/>
      <c r="Q105" s="24" t="str">
        <f aca="false">IF(B105="","",P105*IFERROR(INDEX(設定!$C$43:$C$45,MATCH(K105,設定!$B$43:$B$45,0)),1))</f>
        <v/>
      </c>
      <c r="R105" s="25" t="str">
        <f aca="false">IF(B105="","",O105-N105)</f>
        <v/>
      </c>
      <c r="S105" s="26" t="str">
        <f aca="false">IF(B105="","",IF(N105=0,"",R105/N105))</f>
        <v/>
      </c>
      <c r="T105" s="26" t="str">
        <f aca="false">IF(B105="","",IF(P105=0,"",S105*365/P105))</f>
        <v/>
      </c>
      <c r="U105" s="27" t="str">
        <f aca="false">IF(B105="","",IFERROR(S105/INDEX(設定!$C$43:$C$45,MATCH(K105,設定!$B$43:$B$45,0)),""))</f>
        <v/>
      </c>
      <c r="V105" s="7" t="str">
        <f aca="false">IF(B105="","",IF(P105&lt;=設定!$C$6,IF(S105&gt;=設定!$C$7,"I(コア)","II(回転)"),IF(S105&gt;=設定!$C$7,"III(厳選)","IV(見送り)")))</f>
        <v/>
      </c>
      <c r="W105" s="26" t="str">
        <f aca="false">IF(B105="","",IF(L105="在庫中",IF($C$6=0,"",O105/$C$6),""))</f>
        <v/>
      </c>
      <c r="X105" s="21"/>
    </row>
    <row r="106" customFormat="false" ht="15" hidden="false" customHeight="false" outlineLevel="0" collapsed="false">
      <c r="A106" s="18" t="str">
        <f aca="false">IF(B106="","",ROW()-10)</f>
        <v/>
      </c>
      <c r="B106" s="21"/>
      <c r="C106" s="20"/>
      <c r="D106" s="21"/>
      <c r="E106" s="21"/>
      <c r="F106" s="21"/>
      <c r="G106" s="21"/>
      <c r="H106" s="21"/>
      <c r="I106" s="21"/>
      <c r="J106" s="20"/>
      <c r="K106" s="20"/>
      <c r="L106" s="20"/>
      <c r="M106" s="35"/>
      <c r="N106" s="22"/>
      <c r="O106" s="22"/>
      <c r="P106" s="23"/>
      <c r="Q106" s="24" t="str">
        <f aca="false">IF(B106="","",P106*IFERROR(INDEX(設定!$C$43:$C$45,MATCH(K106,設定!$B$43:$B$45,0)),1))</f>
        <v/>
      </c>
      <c r="R106" s="25" t="str">
        <f aca="false">IF(B106="","",O106-N106)</f>
        <v/>
      </c>
      <c r="S106" s="26" t="str">
        <f aca="false">IF(B106="","",IF(N106=0,"",R106/N106))</f>
        <v/>
      </c>
      <c r="T106" s="26" t="str">
        <f aca="false">IF(B106="","",IF(P106=0,"",S106*365/P106))</f>
        <v/>
      </c>
      <c r="U106" s="27" t="str">
        <f aca="false">IF(B106="","",IFERROR(S106/INDEX(設定!$C$43:$C$45,MATCH(K106,設定!$B$43:$B$45,0)),""))</f>
        <v/>
      </c>
      <c r="V106" s="7" t="str">
        <f aca="false">IF(B106="","",IF(P106&lt;=設定!$C$6,IF(S106&gt;=設定!$C$7,"I(コア)","II(回転)"),IF(S106&gt;=設定!$C$7,"III(厳選)","IV(見送り)")))</f>
        <v/>
      </c>
      <c r="W106" s="26" t="str">
        <f aca="false">IF(B106="","",IF(L106="在庫中",IF($C$6=0,"",O106/$C$6),""))</f>
        <v/>
      </c>
      <c r="X106" s="21"/>
    </row>
    <row r="107" customFormat="false" ht="15" hidden="false" customHeight="false" outlineLevel="0" collapsed="false">
      <c r="A107" s="18" t="str">
        <f aca="false">IF(B107="","",ROW()-10)</f>
        <v/>
      </c>
      <c r="B107" s="21"/>
      <c r="C107" s="20"/>
      <c r="D107" s="21"/>
      <c r="E107" s="21"/>
      <c r="F107" s="21"/>
      <c r="G107" s="21"/>
      <c r="H107" s="21"/>
      <c r="I107" s="21"/>
      <c r="J107" s="20"/>
      <c r="K107" s="20"/>
      <c r="L107" s="20"/>
      <c r="M107" s="35"/>
      <c r="N107" s="22"/>
      <c r="O107" s="22"/>
      <c r="P107" s="23"/>
      <c r="Q107" s="24" t="str">
        <f aca="false">IF(B107="","",P107*IFERROR(INDEX(設定!$C$43:$C$45,MATCH(K107,設定!$B$43:$B$45,0)),1))</f>
        <v/>
      </c>
      <c r="R107" s="25" t="str">
        <f aca="false">IF(B107="","",O107-N107)</f>
        <v/>
      </c>
      <c r="S107" s="26" t="str">
        <f aca="false">IF(B107="","",IF(N107=0,"",R107/N107))</f>
        <v/>
      </c>
      <c r="T107" s="26" t="str">
        <f aca="false">IF(B107="","",IF(P107=0,"",S107*365/P107))</f>
        <v/>
      </c>
      <c r="U107" s="27" t="str">
        <f aca="false">IF(B107="","",IFERROR(S107/INDEX(設定!$C$43:$C$45,MATCH(K107,設定!$B$43:$B$45,0)),""))</f>
        <v/>
      </c>
      <c r="V107" s="7" t="str">
        <f aca="false">IF(B107="","",IF(P107&lt;=設定!$C$6,IF(S107&gt;=設定!$C$7,"I(コア)","II(回転)"),IF(S107&gt;=設定!$C$7,"III(厳選)","IV(見送り)")))</f>
        <v/>
      </c>
      <c r="W107" s="26" t="str">
        <f aca="false">IF(B107="","",IF(L107="在庫中",IF($C$6=0,"",O107/$C$6),""))</f>
        <v/>
      </c>
      <c r="X107" s="21"/>
    </row>
    <row r="108" customFormat="false" ht="15" hidden="false" customHeight="false" outlineLevel="0" collapsed="false">
      <c r="A108" s="18" t="str">
        <f aca="false">IF(B108="","",ROW()-10)</f>
        <v/>
      </c>
      <c r="B108" s="21"/>
      <c r="C108" s="20"/>
      <c r="D108" s="21"/>
      <c r="E108" s="21"/>
      <c r="F108" s="21"/>
      <c r="G108" s="21"/>
      <c r="H108" s="21"/>
      <c r="I108" s="21"/>
      <c r="J108" s="20"/>
      <c r="K108" s="20"/>
      <c r="L108" s="20"/>
      <c r="M108" s="35"/>
      <c r="N108" s="22"/>
      <c r="O108" s="22"/>
      <c r="P108" s="23"/>
      <c r="Q108" s="24" t="str">
        <f aca="false">IF(B108="","",P108*IFERROR(INDEX(設定!$C$43:$C$45,MATCH(K108,設定!$B$43:$B$45,0)),1))</f>
        <v/>
      </c>
      <c r="R108" s="25" t="str">
        <f aca="false">IF(B108="","",O108-N108)</f>
        <v/>
      </c>
      <c r="S108" s="26" t="str">
        <f aca="false">IF(B108="","",IF(N108=0,"",R108/N108))</f>
        <v/>
      </c>
      <c r="T108" s="26" t="str">
        <f aca="false">IF(B108="","",IF(P108=0,"",S108*365/P108))</f>
        <v/>
      </c>
      <c r="U108" s="27" t="str">
        <f aca="false">IF(B108="","",IFERROR(S108/INDEX(設定!$C$43:$C$45,MATCH(K108,設定!$B$43:$B$45,0)),""))</f>
        <v/>
      </c>
      <c r="V108" s="7" t="str">
        <f aca="false">IF(B108="","",IF(P108&lt;=設定!$C$6,IF(S108&gt;=設定!$C$7,"I(コア)","II(回転)"),IF(S108&gt;=設定!$C$7,"III(厳選)","IV(見送り)")))</f>
        <v/>
      </c>
      <c r="W108" s="26" t="str">
        <f aca="false">IF(B108="","",IF(L108="在庫中",IF($C$6=0,"",O108/$C$6),""))</f>
        <v/>
      </c>
      <c r="X108" s="21"/>
    </row>
    <row r="109" customFormat="false" ht="15" hidden="false" customHeight="false" outlineLevel="0" collapsed="false">
      <c r="A109" s="18" t="str">
        <f aca="false">IF(B109="","",ROW()-10)</f>
        <v/>
      </c>
      <c r="B109" s="21"/>
      <c r="C109" s="20"/>
      <c r="D109" s="21"/>
      <c r="E109" s="21"/>
      <c r="F109" s="21"/>
      <c r="G109" s="21"/>
      <c r="H109" s="21"/>
      <c r="I109" s="21"/>
      <c r="J109" s="20"/>
      <c r="K109" s="20"/>
      <c r="L109" s="20"/>
      <c r="M109" s="35"/>
      <c r="N109" s="22"/>
      <c r="O109" s="22"/>
      <c r="P109" s="23"/>
      <c r="Q109" s="24" t="str">
        <f aca="false">IF(B109="","",P109*IFERROR(INDEX(設定!$C$43:$C$45,MATCH(K109,設定!$B$43:$B$45,0)),1))</f>
        <v/>
      </c>
      <c r="R109" s="25" t="str">
        <f aca="false">IF(B109="","",O109-N109)</f>
        <v/>
      </c>
      <c r="S109" s="26" t="str">
        <f aca="false">IF(B109="","",IF(N109=0,"",R109/N109))</f>
        <v/>
      </c>
      <c r="T109" s="26" t="str">
        <f aca="false">IF(B109="","",IF(P109=0,"",S109*365/P109))</f>
        <v/>
      </c>
      <c r="U109" s="27" t="str">
        <f aca="false">IF(B109="","",IFERROR(S109/INDEX(設定!$C$43:$C$45,MATCH(K109,設定!$B$43:$B$45,0)),""))</f>
        <v/>
      </c>
      <c r="V109" s="7" t="str">
        <f aca="false">IF(B109="","",IF(P109&lt;=設定!$C$6,IF(S109&gt;=設定!$C$7,"I(コア)","II(回転)"),IF(S109&gt;=設定!$C$7,"III(厳選)","IV(見送り)")))</f>
        <v/>
      </c>
      <c r="W109" s="26" t="str">
        <f aca="false">IF(B109="","",IF(L109="在庫中",IF($C$6=0,"",O109/$C$6),""))</f>
        <v/>
      </c>
      <c r="X109" s="21"/>
    </row>
    <row r="110" customFormat="false" ht="15" hidden="false" customHeight="false" outlineLevel="0" collapsed="false">
      <c r="A110" s="18" t="str">
        <f aca="false">IF(B110="","",ROW()-10)</f>
        <v/>
      </c>
      <c r="B110" s="21"/>
      <c r="C110" s="20"/>
      <c r="D110" s="21"/>
      <c r="E110" s="21"/>
      <c r="F110" s="21"/>
      <c r="G110" s="21"/>
      <c r="H110" s="21"/>
      <c r="I110" s="21"/>
      <c r="J110" s="20"/>
      <c r="K110" s="20"/>
      <c r="L110" s="20"/>
      <c r="M110" s="35"/>
      <c r="N110" s="22"/>
      <c r="O110" s="22"/>
      <c r="P110" s="23"/>
      <c r="Q110" s="24" t="str">
        <f aca="false">IF(B110="","",P110*IFERROR(INDEX(設定!$C$43:$C$45,MATCH(K110,設定!$B$43:$B$45,0)),1))</f>
        <v/>
      </c>
      <c r="R110" s="25" t="str">
        <f aca="false">IF(B110="","",O110-N110)</f>
        <v/>
      </c>
      <c r="S110" s="26" t="str">
        <f aca="false">IF(B110="","",IF(N110=0,"",R110/N110))</f>
        <v/>
      </c>
      <c r="T110" s="26" t="str">
        <f aca="false">IF(B110="","",IF(P110=0,"",S110*365/P110))</f>
        <v/>
      </c>
      <c r="U110" s="27" t="str">
        <f aca="false">IF(B110="","",IFERROR(S110/INDEX(設定!$C$43:$C$45,MATCH(K110,設定!$B$43:$B$45,0)),""))</f>
        <v/>
      </c>
      <c r="V110" s="7" t="str">
        <f aca="false">IF(B110="","",IF(P110&lt;=設定!$C$6,IF(S110&gt;=設定!$C$7,"I(コア)","II(回転)"),IF(S110&gt;=設定!$C$7,"III(厳選)","IV(見送り)")))</f>
        <v/>
      </c>
      <c r="W110" s="26" t="str">
        <f aca="false">IF(B110="","",IF(L110="在庫中",IF($C$6=0,"",O110/$C$6),""))</f>
        <v/>
      </c>
      <c r="X110" s="21"/>
    </row>
  </sheetData>
  <dataValidations count="6">
    <dataValidation allowBlank="true" errorStyle="stop" operator="between" showDropDown="false" showErrorMessage="false" showInputMessage="false" sqref="C11:C110" type="list">
      <formula1>設定!$B$20:$B$25</formula1>
      <formula2>0</formula2>
    </dataValidation>
    <dataValidation allowBlank="true" errorStyle="stop" operator="between" showDropDown="false" showErrorMessage="false" showInputMessage="false" sqref="I11:I110" type="list">
      <formula1>設定!$B$29:$B$33</formula1>
      <formula2>0</formula2>
    </dataValidation>
    <dataValidation allowBlank="true" errorStyle="stop" operator="between" showDropDown="false" showErrorMessage="false" showInputMessage="false" sqref="J11:J110" type="list">
      <formula1>設定!$B$37:$B$39</formula1>
      <formula2>0</formula2>
    </dataValidation>
    <dataValidation allowBlank="true" errorStyle="stop" operator="between" showDropDown="false" showErrorMessage="false" showInputMessage="false" sqref="K11:K110" type="list">
      <formula1>設定!$B$43:$B$45</formula1>
      <formula2>0</formula2>
    </dataValidation>
    <dataValidation allowBlank="true" errorStyle="stop" operator="between" showDropDown="false" showErrorMessage="false" showInputMessage="false" sqref="L11:L110" type="list">
      <formula1>設定!$B$49:$B$51</formula1>
      <formula2>0</formula2>
    </dataValidation>
    <dataValidation allowBlank="true" errorStyle="stop" operator="between" showDropDown="false" showErrorMessage="false" showInputMessage="false" sqref="G11:H110" type="list">
      <formula1>"○,×"</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2:J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6"/>
    <col collapsed="false" customWidth="true" hidden="false" outlineLevel="0" max="5" min="4" style="0" width="12"/>
    <col collapsed="false" customWidth="true" hidden="false" outlineLevel="0" max="6" min="6" style="0" width="4"/>
    <col collapsed="false" customWidth="true" hidden="false" outlineLevel="0" max="7" min="7" style="0" width="20"/>
    <col collapsed="false" customWidth="true" hidden="false" outlineLevel="0" max="8" min="8" style="0" width="16"/>
    <col collapsed="false" customWidth="true" hidden="false" outlineLevel="0" max="12" min="9" style="0" width="12"/>
  </cols>
  <sheetData>
    <row r="2" customFormat="false" ht="19.7" hidden="false" customHeight="false" outlineLevel="0" collapsed="false">
      <c r="B2" s="1" t="s">
        <v>196</v>
      </c>
    </row>
    <row r="3" customFormat="false" ht="15" hidden="false" customHeight="false" outlineLevel="0" collapsed="false">
      <c r="B3" s="2" t="s">
        <v>197</v>
      </c>
    </row>
    <row r="5" customFormat="false" ht="15" hidden="false" customHeight="false" outlineLevel="0" collapsed="false">
      <c r="B5" s="3" t="s">
        <v>198</v>
      </c>
    </row>
    <row r="6" customFormat="false" ht="15" hidden="false" customHeight="false" outlineLevel="0" collapsed="false">
      <c r="B6" s="7" t="s">
        <v>172</v>
      </c>
      <c r="C6" s="36" t="n">
        <f aca="false">在庫管理!$C$5</f>
        <v>78000</v>
      </c>
    </row>
    <row r="7" customFormat="false" ht="15" hidden="false" customHeight="false" outlineLevel="0" collapsed="false">
      <c r="B7" s="7" t="s">
        <v>173</v>
      </c>
      <c r="C7" s="36" t="n">
        <f aca="false">在庫管理!$C$6</f>
        <v>98500</v>
      </c>
    </row>
    <row r="8" customFormat="false" ht="15" hidden="false" customHeight="false" outlineLevel="0" collapsed="false">
      <c r="B8" s="7" t="s">
        <v>174</v>
      </c>
      <c r="C8" s="36" t="n">
        <f aca="false">在庫管理!$C$7</f>
        <v>20500</v>
      </c>
    </row>
    <row r="9" customFormat="false" ht="15" hidden="false" customHeight="false" outlineLevel="0" collapsed="false">
      <c r="B9" s="7" t="s">
        <v>175</v>
      </c>
      <c r="C9" s="37" t="n">
        <f aca="false">在庫管理!$C$8</f>
        <v>0.262820512820513</v>
      </c>
    </row>
    <row r="10" customFormat="false" ht="15" hidden="false" customHeight="false" outlineLevel="0" collapsed="false">
      <c r="B10" s="7" t="s">
        <v>199</v>
      </c>
      <c r="C10" s="38" t="n">
        <f aca="false">IFERROR($C$7/$C$6,"")</f>
        <v>1.26282051282051</v>
      </c>
    </row>
    <row r="11" customFormat="false" ht="15" hidden="false" customHeight="false" outlineLevel="0" collapsed="false">
      <c r="B11" s="7" t="s">
        <v>200</v>
      </c>
      <c r="C11" s="24" t="n">
        <f aca="false">IFERROR(SUMPRODUCT((在庫管理!$L$11:$L$110="在庫中")*在庫管理!$P$11:$P$110*在庫管理!$O$11:$O$110)/$C$7,"")</f>
        <v>35.2791878172589</v>
      </c>
    </row>
    <row r="12" customFormat="false" ht="15" hidden="false" customHeight="false" outlineLevel="0" collapsed="false">
      <c r="B12" s="7" t="s">
        <v>201</v>
      </c>
      <c r="C12" s="27" t="n">
        <f aca="false">IFERROR(365/$C$11,"")</f>
        <v>10.3460431654676</v>
      </c>
    </row>
    <row r="14" customFormat="false" ht="15" hidden="false" customHeight="false" outlineLevel="0" collapsed="false">
      <c r="B14" s="3" t="s">
        <v>202</v>
      </c>
    </row>
    <row r="15" customFormat="false" ht="15" hidden="false" customHeight="false" outlineLevel="0" collapsed="false">
      <c r="B15" s="7" t="s">
        <v>203</v>
      </c>
      <c r="C15" s="26" t="n">
        <f aca="false">IFERROR(SUMIFS(在庫管理!$O$11:$O$110,在庫管理!$L$11:$L$110,"在庫中",在庫管理!$P$11:$P$110,"&lt;="&amp;設定!$C$6)/$C$7,"")</f>
        <v>0.50253807106599</v>
      </c>
    </row>
    <row r="16" customFormat="false" ht="15" hidden="false" customHeight="false" outlineLevel="0" collapsed="false">
      <c r="B16" s="7" t="s">
        <v>204</v>
      </c>
      <c r="C16" s="26" t="n">
        <f aca="false">IFERROR(SUMIFS(在庫管理!$O$11:$O$110,在庫管理!$L$11:$L$110,"在庫中",在庫管理!$P$11:$P$110,"&gt;"&amp;設定!$C$8)/$C$7,"")</f>
        <v>0</v>
      </c>
    </row>
    <row r="17" customFormat="false" ht="15" hidden="false" customHeight="false" outlineLevel="0" collapsed="false">
      <c r="B17" s="7" t="s">
        <v>205</v>
      </c>
      <c r="C17" s="26" t="n">
        <f aca="false">IFERROR((SUMIFS(在庫管理!$O$11:$O$110,在庫管理!$L$11:$L$110,"在庫中",在庫管理!$V$11:$V$110,"I(コア)")+SUMIFS(在庫管理!$O$11:$O$110,在庫管理!$L$11:$L$110,"在庫中",在庫管理!$V$11:$V$110,"II(回転)"))/$C$7,"")</f>
        <v>0.50253807106599</v>
      </c>
    </row>
    <row r="18" customFormat="false" ht="15" hidden="false" customHeight="false" outlineLevel="0" collapsed="false">
      <c r="B18" s="7" t="s">
        <v>206</v>
      </c>
      <c r="C18" s="26" t="n">
        <f aca="false">IFERROR((SUMIFS(在庫管理!$O$11:$O$110,在庫管理!$L$11:$L$110,"在庫中",在庫管理!$V$11:$V$110,"III(厳選)")+SUMIFS(在庫管理!$O$11:$O$110,在庫管理!$L$11:$L$110,"在庫中",在庫管理!$V$11:$V$110,"IV(見送り)"))/$C$7,"")</f>
        <v>0.49746192893401</v>
      </c>
    </row>
    <row r="20" customFormat="false" ht="15" hidden="false" customHeight="false" outlineLevel="0" collapsed="false">
      <c r="B20" s="3" t="s">
        <v>207</v>
      </c>
    </row>
    <row r="22" customFormat="false" ht="15" hidden="false" customHeight="false" outlineLevel="0" collapsed="false">
      <c r="B22" s="10" t="s">
        <v>64</v>
      </c>
      <c r="C22" s="10" t="s">
        <v>208</v>
      </c>
      <c r="D22" s="10" t="s">
        <v>209</v>
      </c>
      <c r="E22" s="10" t="s">
        <v>210</v>
      </c>
      <c r="G22" s="10" t="s">
        <v>128</v>
      </c>
      <c r="H22" s="10" t="s">
        <v>208</v>
      </c>
      <c r="I22" s="10" t="s">
        <v>209</v>
      </c>
      <c r="J22" s="10" t="s">
        <v>210</v>
      </c>
    </row>
    <row r="23" customFormat="false" ht="15" hidden="false" customHeight="false" outlineLevel="0" collapsed="false">
      <c r="B23" s="7" t="str">
        <f aca="false">設定!B20</f>
        <v>ポケモンカード</v>
      </c>
      <c r="C23" s="25" t="n">
        <f aca="false">SUMIFS(在庫管理!$O$11:$O$110,在庫管理!$L$11:$L$110,"在庫中",在庫管理!$C$11:$C$110,$B23)</f>
        <v>31000</v>
      </c>
      <c r="D23" s="26" t="n">
        <f aca="false">IFERROR($C23/$C$7,"")</f>
        <v>0.314720812182741</v>
      </c>
      <c r="E23" s="39" t="n">
        <f aca="false">IFERROR($D23^2*10000,0)</f>
        <v>990.491896209642</v>
      </c>
      <c r="G23" s="17" t="s">
        <v>46</v>
      </c>
      <c r="H23" s="25" t="n">
        <f aca="false">SUMIFS(在庫管理!$O$11:$O$110,在庫管理!$L$11:$L$110,"在庫中",在庫管理!$V$11:$V$110,$G23)</f>
        <v>31000</v>
      </c>
      <c r="I23" s="26" t="n">
        <f aca="false">IFERROR($H23/$C$7,"")</f>
        <v>0.314720812182741</v>
      </c>
      <c r="J23" s="39" t="n">
        <f aca="false">IFERROR($I23^2*10000,0)</f>
        <v>990.491896209642</v>
      </c>
    </row>
    <row r="24" customFormat="false" ht="15" hidden="false" customHeight="false" outlineLevel="0" collapsed="false">
      <c r="B24" s="7" t="str">
        <f aca="false">設定!B21</f>
        <v>ワンピースカード</v>
      </c>
      <c r="C24" s="25" t="n">
        <f aca="false">SUMIFS(在庫管理!$O$11:$O$110,在庫管理!$L$11:$L$110,"在庫中",在庫管理!$C$11:$C$110,$B24)</f>
        <v>18500</v>
      </c>
      <c r="D24" s="26" t="n">
        <f aca="false">IFERROR($C24/$C$7,"")</f>
        <v>0.187817258883249</v>
      </c>
      <c r="E24" s="39" t="n">
        <f aca="false">IFERROR($D24^2*10000,0)</f>
        <v>352.753227344173</v>
      </c>
      <c r="G24" s="17" t="s">
        <v>51</v>
      </c>
      <c r="H24" s="25" t="n">
        <f aca="false">SUMIFS(在庫管理!$O$11:$O$110,在庫管理!$L$11:$L$110,"在庫中",在庫管理!$V$11:$V$110,$G24)</f>
        <v>18500</v>
      </c>
      <c r="I24" s="26" t="n">
        <f aca="false">IFERROR($H24/$C$7,"")</f>
        <v>0.187817258883249</v>
      </c>
      <c r="J24" s="39" t="n">
        <f aca="false">IFERROR($I24^2*10000,0)</f>
        <v>352.753227344173</v>
      </c>
    </row>
    <row r="25" customFormat="false" ht="15" hidden="false" customHeight="false" outlineLevel="0" collapsed="false">
      <c r="B25" s="7" t="str">
        <f aca="false">設定!B22</f>
        <v>遊戯王</v>
      </c>
      <c r="C25" s="25" t="n">
        <f aca="false">SUMIFS(在庫管理!$O$11:$O$110,在庫管理!$L$11:$L$110,"在庫中",在庫管理!$C$11:$C$110,$B25)</f>
        <v>49000</v>
      </c>
      <c r="D25" s="26" t="n">
        <f aca="false">IFERROR($C25/$C$7,"")</f>
        <v>0.49746192893401</v>
      </c>
      <c r="E25" s="39" t="n">
        <f aca="false">IFERROR($D25^2*10000,0)</f>
        <v>2474.68370738746</v>
      </c>
      <c r="G25" s="17" t="s">
        <v>55</v>
      </c>
      <c r="H25" s="25" t="n">
        <f aca="false">SUMIFS(在庫管理!$O$11:$O$110,在庫管理!$L$11:$L$110,"在庫中",在庫管理!$V$11:$V$110,$G25)</f>
        <v>49000</v>
      </c>
      <c r="I25" s="26" t="n">
        <f aca="false">IFERROR($H25/$C$7,"")</f>
        <v>0.49746192893401</v>
      </c>
      <c r="J25" s="39" t="n">
        <f aca="false">IFERROR($I25^2*10000,0)</f>
        <v>2474.68370738746</v>
      </c>
    </row>
    <row r="26" customFormat="false" ht="15" hidden="false" customHeight="false" outlineLevel="0" collapsed="false">
      <c r="B26" s="7" t="str">
        <f aca="false">設定!B23</f>
        <v>デュエル・マスターズ</v>
      </c>
      <c r="C26" s="25" t="n">
        <f aca="false">SUMIFS(在庫管理!$O$11:$O$110,在庫管理!$L$11:$L$110,"在庫中",在庫管理!$C$11:$C$110,$B26)</f>
        <v>0</v>
      </c>
      <c r="D26" s="26" t="n">
        <f aca="false">IFERROR($C26/$C$7,"")</f>
        <v>0</v>
      </c>
      <c r="E26" s="39" t="n">
        <f aca="false">IFERROR($D26^2*10000,0)</f>
        <v>0</v>
      </c>
      <c r="G26" s="17" t="s">
        <v>59</v>
      </c>
      <c r="H26" s="25" t="n">
        <f aca="false">SUMIFS(在庫管理!$O$11:$O$110,在庫管理!$L$11:$L$110,"在庫中",在庫管理!$V$11:$V$110,$G26)</f>
        <v>0</v>
      </c>
      <c r="I26" s="26" t="n">
        <f aca="false">IFERROR($H26/$C$7,"")</f>
        <v>0</v>
      </c>
      <c r="J26" s="39" t="n">
        <f aca="false">IFERROR($I26^2*10000,0)</f>
        <v>0</v>
      </c>
    </row>
    <row r="27" customFormat="false" ht="15" hidden="false" customHeight="false" outlineLevel="0" collapsed="false">
      <c r="B27" s="7" t="str">
        <f aca="false">設定!B24</f>
        <v>マジック：ザ・ギャザリング</v>
      </c>
      <c r="C27" s="25" t="n">
        <f aca="false">SUMIFS(在庫管理!$O$11:$O$110,在庫管理!$L$11:$L$110,"在庫中",在庫管理!$C$11:$C$110,$B27)</f>
        <v>0</v>
      </c>
      <c r="D27" s="26" t="n">
        <f aca="false">IFERROR($C27/$C$7,"")</f>
        <v>0</v>
      </c>
      <c r="E27" s="39" t="n">
        <f aca="false">IFERROR($D27^2*10000,0)</f>
        <v>0</v>
      </c>
      <c r="G27" s="32" t="s">
        <v>166</v>
      </c>
      <c r="H27" s="34" t="n">
        <f aca="false">SUM(H23:H26)</f>
        <v>98500</v>
      </c>
      <c r="I27" s="33" t="n">
        <f aca="false">SUM(I23:I26)</f>
        <v>1</v>
      </c>
      <c r="J27" s="40" t="n">
        <f aca="false">SUM(J23:J26)</f>
        <v>3817.92883094128</v>
      </c>
    </row>
    <row r="28" customFormat="false" ht="15" hidden="false" customHeight="false" outlineLevel="0" collapsed="false">
      <c r="B28" s="7" t="str">
        <f aca="false">設定!B25</f>
        <v>その他</v>
      </c>
      <c r="C28" s="25" t="n">
        <f aca="false">SUMIFS(在庫管理!$O$11:$O$110,在庫管理!$L$11:$L$110,"在庫中",在庫管理!$C$11:$C$110,$B28)</f>
        <v>0</v>
      </c>
      <c r="D28" s="26" t="n">
        <f aca="false">IFERROR($C28/$C$7,"")</f>
        <v>0</v>
      </c>
      <c r="E28" s="39" t="n">
        <f aca="false">IFERROR($D28^2*10000,0)</f>
        <v>0</v>
      </c>
      <c r="G28" s="41" t="s">
        <v>211</v>
      </c>
      <c r="H28" s="42" t="str">
        <f aca="false">IF(J27&gt;=2500,"偏りが大きい（要注意）",IF(J27&gt;=1500,"中程度","分散（健全）"))</f>
        <v>偏りが大きい（要注意）</v>
      </c>
      <c r="I28" s="42"/>
      <c r="J28" s="42"/>
    </row>
    <row r="29" customFormat="false" ht="15" hidden="false" customHeight="false" outlineLevel="0" collapsed="false">
      <c r="B29" s="32" t="s">
        <v>166</v>
      </c>
      <c r="C29" s="34" t="n">
        <f aca="false">SUM(C23:C28)</f>
        <v>98500</v>
      </c>
      <c r="D29" s="33" t="n">
        <f aca="false">SUM(D23:D28)</f>
        <v>1</v>
      </c>
      <c r="E29" s="40" t="n">
        <f aca="false">SUM(E23:E28)</f>
        <v>3817.92883094128</v>
      </c>
    </row>
    <row r="30" customFormat="false" ht="15" hidden="false" customHeight="false" outlineLevel="0" collapsed="false">
      <c r="B30" s="41" t="s">
        <v>211</v>
      </c>
      <c r="C30" s="42" t="str">
        <f aca="false">IF(E29&gt;=2500,"偏りが大きい（要注意）",IF(E29&gt;=1500,"中程度","分散（健全）"))</f>
        <v>偏りが大きい（要注意）</v>
      </c>
      <c r="D30" s="42"/>
      <c r="E30" s="42"/>
    </row>
    <row r="32" customFormat="false" ht="15" hidden="false" customHeight="false" outlineLevel="0" collapsed="false">
      <c r="B32" s="10" t="s">
        <v>178</v>
      </c>
      <c r="C32" s="10" t="s">
        <v>208</v>
      </c>
      <c r="D32" s="10" t="s">
        <v>209</v>
      </c>
      <c r="E32" s="10" t="s">
        <v>210</v>
      </c>
      <c r="G32" s="10" t="s">
        <v>179</v>
      </c>
      <c r="H32" s="10" t="s">
        <v>208</v>
      </c>
      <c r="I32" s="10" t="s">
        <v>209</v>
      </c>
      <c r="J32" s="10" t="s">
        <v>210</v>
      </c>
    </row>
    <row r="33" customFormat="false" ht="15" hidden="false" customHeight="false" outlineLevel="0" collapsed="false">
      <c r="B33" s="7" t="str">
        <f aca="false">設定!B55</f>
        <v>リザードン</v>
      </c>
      <c r="C33" s="25" t="n">
        <f aca="false">IF($B33="","",SUMIFS(在庫管理!$O$11:$O$110,在庫管理!$L$11:$L$110,"在庫中",在庫管理!$D$11:$D$110,$B33))</f>
        <v>31000</v>
      </c>
      <c r="D33" s="26" t="n">
        <f aca="false">IFERROR($C33/$C$7,"")</f>
        <v>0.314720812182741</v>
      </c>
      <c r="E33" s="39" t="n">
        <f aca="false">IFERROR($D33^2*10000,0)</f>
        <v>990.491896209642</v>
      </c>
      <c r="G33" s="7" t="str">
        <f aca="false">設定!B78</f>
        <v>サンプル絵師A</v>
      </c>
      <c r="H33" s="25" t="n">
        <f aca="false">IF($G33="","",SUMIFS(在庫管理!$O$11:$O$110,在庫管理!$L$11:$L$110,"在庫中",在庫管理!$E$11:$E$110,$G33))</f>
        <v>31000</v>
      </c>
      <c r="I33" s="26" t="n">
        <f aca="false">IFERROR($H33/$C$7,"")</f>
        <v>0.314720812182741</v>
      </c>
      <c r="J33" s="39" t="n">
        <f aca="false">IFERROR($I33^2*10000,0)</f>
        <v>990.491896209642</v>
      </c>
    </row>
    <row r="34" customFormat="false" ht="15" hidden="false" customHeight="false" outlineLevel="0" collapsed="false">
      <c r="B34" s="7" t="str">
        <f aca="false">設定!B56</f>
        <v>ルフィ</v>
      </c>
      <c r="C34" s="25" t="n">
        <f aca="false">IF($B34="","",SUMIFS(在庫管理!$O$11:$O$110,在庫管理!$L$11:$L$110,"在庫中",在庫管理!$D$11:$D$110,$B34))</f>
        <v>18500</v>
      </c>
      <c r="D34" s="26" t="n">
        <f aca="false">IFERROR($C34/$C$7,"")</f>
        <v>0.187817258883249</v>
      </c>
      <c r="E34" s="39" t="n">
        <f aca="false">IFERROR($D34^2*10000,0)</f>
        <v>352.753227344173</v>
      </c>
      <c r="G34" s="7" t="str">
        <f aca="false">設定!B79</f>
        <v>サンプル絵師B</v>
      </c>
      <c r="H34" s="25" t="n">
        <f aca="false">IF($G34="","",SUMIFS(在庫管理!$O$11:$O$110,在庫管理!$L$11:$L$110,"在庫中",在庫管理!$E$11:$E$110,$G34))</f>
        <v>0</v>
      </c>
      <c r="I34" s="26" t="n">
        <f aca="false">IFERROR($H34/$C$7,"")</f>
        <v>0</v>
      </c>
      <c r="J34" s="39" t="n">
        <f aca="false">IFERROR($I34^2*10000,0)</f>
        <v>0</v>
      </c>
    </row>
    <row r="35" customFormat="false" ht="15" hidden="false" customHeight="false" outlineLevel="0" collapsed="false">
      <c r="B35" s="7" t="str">
        <f aca="false">設定!B57</f>
        <v>青眼の白龍</v>
      </c>
      <c r="C35" s="25" t="n">
        <f aca="false">IF($B35="","",SUMIFS(在庫管理!$O$11:$O$110,在庫管理!$L$11:$L$110,"在庫中",在庫管理!$D$11:$D$110,$B35))</f>
        <v>49000</v>
      </c>
      <c r="D35" s="26" t="n">
        <f aca="false">IFERROR($C35/$C$7,"")</f>
        <v>0.49746192893401</v>
      </c>
      <c r="E35" s="39" t="n">
        <f aca="false">IFERROR($D35^2*10000,0)</f>
        <v>2474.68370738746</v>
      </c>
      <c r="G35" s="7" t="n">
        <f aca="false">設定!B80</f>
        <v>0</v>
      </c>
      <c r="H35" s="25" t="str">
        <f aca="false">IF($G35="","",SUMIFS(在庫管理!$O$11:$O$110,在庫管理!$L$11:$L$110,"在庫中",在庫管理!$E$11:$E$110,$G35))</f>
        <v/>
      </c>
      <c r="I35" s="26" t="str">
        <f aca="false">IFERROR($H35/$C$7,"")</f>
        <v/>
      </c>
      <c r="J35" s="39" t="n">
        <f aca="false">IFERROR($I35^2*10000,0)</f>
        <v>0</v>
      </c>
    </row>
    <row r="36" customFormat="false" ht="15" hidden="false" customHeight="false" outlineLevel="0" collapsed="false">
      <c r="B36" s="7" t="n">
        <f aca="false">設定!B58</f>
        <v>0</v>
      </c>
      <c r="C36" s="25" t="str">
        <f aca="false">IF($B36="","",SUMIFS(在庫管理!$O$11:$O$110,在庫管理!$L$11:$L$110,"在庫中",在庫管理!$D$11:$D$110,$B36))</f>
        <v/>
      </c>
      <c r="D36" s="26" t="str">
        <f aca="false">IFERROR($C36/$C$7,"")</f>
        <v/>
      </c>
      <c r="E36" s="39" t="n">
        <f aca="false">IFERROR($D36^2*10000,0)</f>
        <v>0</v>
      </c>
      <c r="G36" s="7" t="n">
        <f aca="false">設定!B81</f>
        <v>0</v>
      </c>
      <c r="H36" s="25" t="str">
        <f aca="false">IF($G36="","",SUMIFS(在庫管理!$O$11:$O$110,在庫管理!$L$11:$L$110,"在庫中",在庫管理!$E$11:$E$110,$G36))</f>
        <v/>
      </c>
      <c r="I36" s="26" t="str">
        <f aca="false">IFERROR($H36/$C$7,"")</f>
        <v/>
      </c>
      <c r="J36" s="39" t="n">
        <f aca="false">IFERROR($I36^2*10000,0)</f>
        <v>0</v>
      </c>
    </row>
    <row r="37" customFormat="false" ht="15" hidden="false" customHeight="false" outlineLevel="0" collapsed="false">
      <c r="B37" s="7" t="n">
        <f aca="false">設定!B59</f>
        <v>0</v>
      </c>
      <c r="C37" s="25" t="str">
        <f aca="false">IF($B37="","",SUMIFS(在庫管理!$O$11:$O$110,在庫管理!$L$11:$L$110,"在庫中",在庫管理!$D$11:$D$110,$B37))</f>
        <v/>
      </c>
      <c r="D37" s="26" t="str">
        <f aca="false">IFERROR($C37/$C$7,"")</f>
        <v/>
      </c>
      <c r="E37" s="39" t="n">
        <f aca="false">IFERROR($D37^2*10000,0)</f>
        <v>0</v>
      </c>
      <c r="G37" s="7" t="n">
        <f aca="false">設定!B82</f>
        <v>0</v>
      </c>
      <c r="H37" s="25" t="str">
        <f aca="false">IF($G37="","",SUMIFS(在庫管理!$O$11:$O$110,在庫管理!$L$11:$L$110,"在庫中",在庫管理!$E$11:$E$110,$G37))</f>
        <v/>
      </c>
      <c r="I37" s="26" t="str">
        <f aca="false">IFERROR($H37/$C$7,"")</f>
        <v/>
      </c>
      <c r="J37" s="39" t="n">
        <f aca="false">IFERROR($I37^2*10000,0)</f>
        <v>0</v>
      </c>
    </row>
    <row r="38" customFormat="false" ht="15" hidden="false" customHeight="false" outlineLevel="0" collapsed="false">
      <c r="B38" s="7" t="n">
        <f aca="false">設定!B60</f>
        <v>0</v>
      </c>
      <c r="C38" s="25" t="str">
        <f aca="false">IF($B38="","",SUMIFS(在庫管理!$O$11:$O$110,在庫管理!$L$11:$L$110,"在庫中",在庫管理!$D$11:$D$110,$B38))</f>
        <v/>
      </c>
      <c r="D38" s="26" t="str">
        <f aca="false">IFERROR($C38/$C$7,"")</f>
        <v/>
      </c>
      <c r="E38" s="39" t="n">
        <f aca="false">IFERROR($D38^2*10000,0)</f>
        <v>0</v>
      </c>
      <c r="G38" s="7" t="n">
        <f aca="false">設定!B83</f>
        <v>0</v>
      </c>
      <c r="H38" s="25" t="str">
        <f aca="false">IF($G38="","",SUMIFS(在庫管理!$O$11:$O$110,在庫管理!$L$11:$L$110,"在庫中",在庫管理!$E$11:$E$110,$G38))</f>
        <v/>
      </c>
      <c r="I38" s="26" t="str">
        <f aca="false">IFERROR($H38/$C$7,"")</f>
        <v/>
      </c>
      <c r="J38" s="39" t="n">
        <f aca="false">IFERROR($I38^2*10000,0)</f>
        <v>0</v>
      </c>
    </row>
    <row r="39" customFormat="false" ht="15" hidden="false" customHeight="false" outlineLevel="0" collapsed="false">
      <c r="B39" s="7" t="n">
        <f aca="false">設定!B61</f>
        <v>0</v>
      </c>
      <c r="C39" s="25" t="str">
        <f aca="false">IF($B39="","",SUMIFS(在庫管理!$O$11:$O$110,在庫管理!$L$11:$L$110,"在庫中",在庫管理!$D$11:$D$110,$B39))</f>
        <v/>
      </c>
      <c r="D39" s="26" t="str">
        <f aca="false">IFERROR($C39/$C$7,"")</f>
        <v/>
      </c>
      <c r="E39" s="39" t="n">
        <f aca="false">IFERROR($D39^2*10000,0)</f>
        <v>0</v>
      </c>
      <c r="G39" s="7" t="n">
        <f aca="false">設定!B84</f>
        <v>0</v>
      </c>
      <c r="H39" s="25" t="str">
        <f aca="false">IF($G39="","",SUMIFS(在庫管理!$O$11:$O$110,在庫管理!$L$11:$L$110,"在庫中",在庫管理!$E$11:$E$110,$G39))</f>
        <v/>
      </c>
      <c r="I39" s="26" t="str">
        <f aca="false">IFERROR($H39/$C$7,"")</f>
        <v/>
      </c>
      <c r="J39" s="39" t="n">
        <f aca="false">IFERROR($I39^2*10000,0)</f>
        <v>0</v>
      </c>
    </row>
    <row r="40" customFormat="false" ht="15" hidden="false" customHeight="false" outlineLevel="0" collapsed="false">
      <c r="B40" s="7" t="n">
        <f aca="false">設定!B62</f>
        <v>0</v>
      </c>
      <c r="C40" s="25" t="str">
        <f aca="false">IF($B40="","",SUMIFS(在庫管理!$O$11:$O$110,在庫管理!$L$11:$L$110,"在庫中",在庫管理!$D$11:$D$110,$B40))</f>
        <v/>
      </c>
      <c r="D40" s="26" t="str">
        <f aca="false">IFERROR($C40/$C$7,"")</f>
        <v/>
      </c>
      <c r="E40" s="39" t="n">
        <f aca="false">IFERROR($D40^2*10000,0)</f>
        <v>0</v>
      </c>
      <c r="G40" s="7" t="n">
        <f aca="false">設定!B85</f>
        <v>0</v>
      </c>
      <c r="H40" s="25" t="str">
        <f aca="false">IF($G40="","",SUMIFS(在庫管理!$O$11:$O$110,在庫管理!$L$11:$L$110,"在庫中",在庫管理!$E$11:$E$110,$G40))</f>
        <v/>
      </c>
      <c r="I40" s="26" t="str">
        <f aca="false">IFERROR($H40/$C$7,"")</f>
        <v/>
      </c>
      <c r="J40" s="39" t="n">
        <f aca="false">IFERROR($I40^2*10000,0)</f>
        <v>0</v>
      </c>
    </row>
    <row r="41" customFormat="false" ht="15" hidden="false" customHeight="false" outlineLevel="0" collapsed="false">
      <c r="B41" s="7" t="n">
        <f aca="false">設定!B63</f>
        <v>0</v>
      </c>
      <c r="C41" s="25" t="str">
        <f aca="false">IF($B41="","",SUMIFS(在庫管理!$O$11:$O$110,在庫管理!$L$11:$L$110,"在庫中",在庫管理!$D$11:$D$110,$B41))</f>
        <v/>
      </c>
      <c r="D41" s="26" t="str">
        <f aca="false">IFERROR($C41/$C$7,"")</f>
        <v/>
      </c>
      <c r="E41" s="39" t="n">
        <f aca="false">IFERROR($D41^2*10000,0)</f>
        <v>0</v>
      </c>
      <c r="G41" s="7" t="n">
        <f aca="false">設定!B86</f>
        <v>0</v>
      </c>
      <c r="H41" s="25" t="str">
        <f aca="false">IF($G41="","",SUMIFS(在庫管理!$O$11:$O$110,在庫管理!$L$11:$L$110,"在庫中",在庫管理!$E$11:$E$110,$G41))</f>
        <v/>
      </c>
      <c r="I41" s="26" t="str">
        <f aca="false">IFERROR($H41/$C$7,"")</f>
        <v/>
      </c>
      <c r="J41" s="39" t="n">
        <f aca="false">IFERROR($I41^2*10000,0)</f>
        <v>0</v>
      </c>
    </row>
    <row r="42" customFormat="false" ht="15" hidden="false" customHeight="false" outlineLevel="0" collapsed="false">
      <c r="B42" s="7" t="n">
        <f aca="false">設定!B64</f>
        <v>0</v>
      </c>
      <c r="C42" s="25" t="str">
        <f aca="false">IF($B42="","",SUMIFS(在庫管理!$O$11:$O$110,在庫管理!$L$11:$L$110,"在庫中",在庫管理!$D$11:$D$110,$B42))</f>
        <v/>
      </c>
      <c r="D42" s="26" t="str">
        <f aca="false">IFERROR($C42/$C$7,"")</f>
        <v/>
      </c>
      <c r="E42" s="39" t="n">
        <f aca="false">IFERROR($D42^2*10000,0)</f>
        <v>0</v>
      </c>
      <c r="G42" s="7" t="n">
        <f aca="false">設定!B87</f>
        <v>0</v>
      </c>
      <c r="H42" s="25" t="str">
        <f aca="false">IF($G42="","",SUMIFS(在庫管理!$O$11:$O$110,在庫管理!$L$11:$L$110,"在庫中",在庫管理!$E$11:$E$110,$G42))</f>
        <v/>
      </c>
      <c r="I42" s="26" t="str">
        <f aca="false">IFERROR($H42/$C$7,"")</f>
        <v/>
      </c>
      <c r="J42" s="39" t="n">
        <f aca="false">IFERROR($I42^2*10000,0)</f>
        <v>0</v>
      </c>
    </row>
    <row r="43" customFormat="false" ht="15" hidden="false" customHeight="false" outlineLevel="0" collapsed="false">
      <c r="B43" s="7" t="n">
        <f aca="false">設定!B65</f>
        <v>0</v>
      </c>
      <c r="C43" s="25" t="str">
        <f aca="false">IF($B43="","",SUMIFS(在庫管理!$O$11:$O$110,在庫管理!$L$11:$L$110,"在庫中",在庫管理!$D$11:$D$110,$B43))</f>
        <v/>
      </c>
      <c r="D43" s="26" t="str">
        <f aca="false">IFERROR($C43/$C$7,"")</f>
        <v/>
      </c>
      <c r="E43" s="39" t="n">
        <f aca="false">IFERROR($D43^2*10000,0)</f>
        <v>0</v>
      </c>
      <c r="G43" s="7" t="n">
        <f aca="false">設定!B88</f>
        <v>0</v>
      </c>
      <c r="H43" s="25" t="str">
        <f aca="false">IF($G43="","",SUMIFS(在庫管理!$O$11:$O$110,在庫管理!$L$11:$L$110,"在庫中",在庫管理!$E$11:$E$110,$G43))</f>
        <v/>
      </c>
      <c r="I43" s="26" t="str">
        <f aca="false">IFERROR($H43/$C$7,"")</f>
        <v/>
      </c>
      <c r="J43" s="39" t="n">
        <f aca="false">IFERROR($I43^2*10000,0)</f>
        <v>0</v>
      </c>
    </row>
    <row r="44" customFormat="false" ht="15" hidden="false" customHeight="false" outlineLevel="0" collapsed="false">
      <c r="B44" s="7" t="n">
        <f aca="false">設定!B66</f>
        <v>0</v>
      </c>
      <c r="C44" s="25" t="str">
        <f aca="false">IF($B44="","",SUMIFS(在庫管理!$O$11:$O$110,在庫管理!$L$11:$L$110,"在庫中",在庫管理!$D$11:$D$110,$B44))</f>
        <v/>
      </c>
      <c r="D44" s="26" t="str">
        <f aca="false">IFERROR($C44/$C$7,"")</f>
        <v/>
      </c>
      <c r="E44" s="39" t="n">
        <f aca="false">IFERROR($D44^2*10000,0)</f>
        <v>0</v>
      </c>
      <c r="G44" s="7" t="n">
        <f aca="false">設定!B89</f>
        <v>0</v>
      </c>
      <c r="H44" s="25" t="str">
        <f aca="false">IF($G44="","",SUMIFS(在庫管理!$O$11:$O$110,在庫管理!$L$11:$L$110,"在庫中",在庫管理!$E$11:$E$110,$G44))</f>
        <v/>
      </c>
      <c r="I44" s="26" t="str">
        <f aca="false">IFERROR($H44/$C$7,"")</f>
        <v/>
      </c>
      <c r="J44" s="39" t="n">
        <f aca="false">IFERROR($I44^2*10000,0)</f>
        <v>0</v>
      </c>
    </row>
    <row r="45" customFormat="false" ht="15" hidden="false" customHeight="false" outlineLevel="0" collapsed="false">
      <c r="B45" s="7" t="n">
        <f aca="false">設定!B67</f>
        <v>0</v>
      </c>
      <c r="C45" s="25" t="str">
        <f aca="false">IF($B45="","",SUMIFS(在庫管理!$O$11:$O$110,在庫管理!$L$11:$L$110,"在庫中",在庫管理!$D$11:$D$110,$B45))</f>
        <v/>
      </c>
      <c r="D45" s="26" t="str">
        <f aca="false">IFERROR($C45/$C$7,"")</f>
        <v/>
      </c>
      <c r="E45" s="39" t="n">
        <f aca="false">IFERROR($D45^2*10000,0)</f>
        <v>0</v>
      </c>
      <c r="G45" s="7" t="n">
        <f aca="false">設定!B90</f>
        <v>0</v>
      </c>
      <c r="H45" s="25" t="str">
        <f aca="false">IF($G45="","",SUMIFS(在庫管理!$O$11:$O$110,在庫管理!$L$11:$L$110,"在庫中",在庫管理!$E$11:$E$110,$G45))</f>
        <v/>
      </c>
      <c r="I45" s="26" t="str">
        <f aca="false">IFERROR($H45/$C$7,"")</f>
        <v/>
      </c>
      <c r="J45" s="39" t="n">
        <f aca="false">IFERROR($I45^2*10000,0)</f>
        <v>0</v>
      </c>
    </row>
    <row r="46" customFormat="false" ht="15" hidden="false" customHeight="false" outlineLevel="0" collapsed="false">
      <c r="B46" s="7" t="n">
        <f aca="false">設定!B68</f>
        <v>0</v>
      </c>
      <c r="C46" s="25" t="str">
        <f aca="false">IF($B46="","",SUMIFS(在庫管理!$O$11:$O$110,在庫管理!$L$11:$L$110,"在庫中",在庫管理!$D$11:$D$110,$B46))</f>
        <v/>
      </c>
      <c r="D46" s="26" t="str">
        <f aca="false">IFERROR($C46/$C$7,"")</f>
        <v/>
      </c>
      <c r="E46" s="39" t="n">
        <f aca="false">IFERROR($D46^2*10000,0)</f>
        <v>0</v>
      </c>
      <c r="G46" s="7" t="n">
        <f aca="false">設定!B91</f>
        <v>0</v>
      </c>
      <c r="H46" s="25" t="str">
        <f aca="false">IF($G46="","",SUMIFS(在庫管理!$O$11:$O$110,在庫管理!$L$11:$L$110,"在庫中",在庫管理!$E$11:$E$110,$G46))</f>
        <v/>
      </c>
      <c r="I46" s="26" t="str">
        <f aca="false">IFERROR($H46/$C$7,"")</f>
        <v/>
      </c>
      <c r="J46" s="39" t="n">
        <f aca="false">IFERROR($I46^2*10000,0)</f>
        <v>0</v>
      </c>
    </row>
    <row r="47" customFormat="false" ht="15" hidden="false" customHeight="false" outlineLevel="0" collapsed="false">
      <c r="B47" s="7" t="n">
        <f aca="false">設定!B69</f>
        <v>0</v>
      </c>
      <c r="C47" s="25" t="str">
        <f aca="false">IF($B47="","",SUMIFS(在庫管理!$O$11:$O$110,在庫管理!$L$11:$L$110,"在庫中",在庫管理!$D$11:$D$110,$B47))</f>
        <v/>
      </c>
      <c r="D47" s="26" t="str">
        <f aca="false">IFERROR($C47/$C$7,"")</f>
        <v/>
      </c>
      <c r="E47" s="39" t="n">
        <f aca="false">IFERROR($D47^2*10000,0)</f>
        <v>0</v>
      </c>
      <c r="G47" s="7" t="n">
        <f aca="false">設定!B92</f>
        <v>0</v>
      </c>
      <c r="H47" s="25" t="str">
        <f aca="false">IF($G47="","",SUMIFS(在庫管理!$O$11:$O$110,在庫管理!$L$11:$L$110,"在庫中",在庫管理!$E$11:$E$110,$G47))</f>
        <v/>
      </c>
      <c r="I47" s="26" t="str">
        <f aca="false">IFERROR($H47/$C$7,"")</f>
        <v/>
      </c>
      <c r="J47" s="39" t="n">
        <f aca="false">IFERROR($I47^2*10000,0)</f>
        <v>0</v>
      </c>
    </row>
    <row r="48" customFormat="false" ht="15" hidden="false" customHeight="false" outlineLevel="0" collapsed="false">
      <c r="B48" s="7" t="n">
        <f aca="false">設定!B70</f>
        <v>0</v>
      </c>
      <c r="C48" s="25" t="str">
        <f aca="false">IF($B48="","",SUMIFS(在庫管理!$O$11:$O$110,在庫管理!$L$11:$L$110,"在庫中",在庫管理!$D$11:$D$110,$B48))</f>
        <v/>
      </c>
      <c r="D48" s="26" t="str">
        <f aca="false">IFERROR($C48/$C$7,"")</f>
        <v/>
      </c>
      <c r="E48" s="39" t="n">
        <f aca="false">IFERROR($D48^2*10000,0)</f>
        <v>0</v>
      </c>
      <c r="G48" s="7" t="n">
        <f aca="false">設定!B93</f>
        <v>0</v>
      </c>
      <c r="H48" s="25" t="str">
        <f aca="false">IF($G48="","",SUMIFS(在庫管理!$O$11:$O$110,在庫管理!$L$11:$L$110,"在庫中",在庫管理!$E$11:$E$110,$G48))</f>
        <v/>
      </c>
      <c r="I48" s="26" t="str">
        <f aca="false">IFERROR($H48/$C$7,"")</f>
        <v/>
      </c>
      <c r="J48" s="39" t="n">
        <f aca="false">IFERROR($I48^2*10000,0)</f>
        <v>0</v>
      </c>
    </row>
    <row r="49" customFormat="false" ht="15" hidden="false" customHeight="false" outlineLevel="0" collapsed="false">
      <c r="B49" s="7" t="n">
        <f aca="false">設定!B71</f>
        <v>0</v>
      </c>
      <c r="C49" s="25" t="str">
        <f aca="false">IF($B49="","",SUMIFS(在庫管理!$O$11:$O$110,在庫管理!$L$11:$L$110,"在庫中",在庫管理!$D$11:$D$110,$B49))</f>
        <v/>
      </c>
      <c r="D49" s="26" t="str">
        <f aca="false">IFERROR($C49/$C$7,"")</f>
        <v/>
      </c>
      <c r="E49" s="39" t="n">
        <f aca="false">IFERROR($D49^2*10000,0)</f>
        <v>0</v>
      </c>
      <c r="G49" s="7" t="n">
        <f aca="false">設定!B94</f>
        <v>0</v>
      </c>
      <c r="H49" s="25" t="str">
        <f aca="false">IF($G49="","",SUMIFS(在庫管理!$O$11:$O$110,在庫管理!$L$11:$L$110,"在庫中",在庫管理!$E$11:$E$110,$G49))</f>
        <v/>
      </c>
      <c r="I49" s="26" t="str">
        <f aca="false">IFERROR($H49/$C$7,"")</f>
        <v/>
      </c>
      <c r="J49" s="39" t="n">
        <f aca="false">IFERROR($I49^2*10000,0)</f>
        <v>0</v>
      </c>
    </row>
    <row r="50" customFormat="false" ht="15" hidden="false" customHeight="false" outlineLevel="0" collapsed="false">
      <c r="B50" s="7" t="n">
        <f aca="false">設定!B72</f>
        <v>0</v>
      </c>
      <c r="C50" s="25" t="str">
        <f aca="false">IF($B50="","",SUMIFS(在庫管理!$O$11:$O$110,在庫管理!$L$11:$L$110,"在庫中",在庫管理!$D$11:$D$110,$B50))</f>
        <v/>
      </c>
      <c r="D50" s="26" t="str">
        <f aca="false">IFERROR($C50/$C$7,"")</f>
        <v/>
      </c>
      <c r="E50" s="39" t="n">
        <f aca="false">IFERROR($D50^2*10000,0)</f>
        <v>0</v>
      </c>
      <c r="G50" s="7" t="n">
        <f aca="false">設定!B95</f>
        <v>0</v>
      </c>
      <c r="H50" s="25" t="str">
        <f aca="false">IF($G50="","",SUMIFS(在庫管理!$O$11:$O$110,在庫管理!$L$11:$L$110,"在庫中",在庫管理!$E$11:$E$110,$G50))</f>
        <v/>
      </c>
      <c r="I50" s="26" t="str">
        <f aca="false">IFERROR($H50/$C$7,"")</f>
        <v/>
      </c>
      <c r="J50" s="39" t="n">
        <f aca="false">IFERROR($I50^2*10000,0)</f>
        <v>0</v>
      </c>
    </row>
    <row r="51" customFormat="false" ht="15" hidden="false" customHeight="false" outlineLevel="0" collapsed="false">
      <c r="B51" s="7" t="n">
        <f aca="false">設定!B73</f>
        <v>0</v>
      </c>
      <c r="C51" s="25" t="str">
        <f aca="false">IF($B51="","",SUMIFS(在庫管理!$O$11:$O$110,在庫管理!$L$11:$L$110,"在庫中",在庫管理!$D$11:$D$110,$B51))</f>
        <v/>
      </c>
      <c r="D51" s="26" t="str">
        <f aca="false">IFERROR($C51/$C$7,"")</f>
        <v/>
      </c>
      <c r="E51" s="39" t="n">
        <f aca="false">IFERROR($D51^2*10000,0)</f>
        <v>0</v>
      </c>
      <c r="G51" s="7" t="n">
        <f aca="false">設定!B96</f>
        <v>0</v>
      </c>
      <c r="H51" s="25" t="str">
        <f aca="false">IF($G51="","",SUMIFS(在庫管理!$O$11:$O$110,在庫管理!$L$11:$L$110,"在庫中",在庫管理!$E$11:$E$110,$G51))</f>
        <v/>
      </c>
      <c r="I51" s="26" t="str">
        <f aca="false">IFERROR($H51/$C$7,"")</f>
        <v/>
      </c>
      <c r="J51" s="39" t="n">
        <f aca="false">IFERROR($I51^2*10000,0)</f>
        <v>0</v>
      </c>
    </row>
    <row r="52" customFormat="false" ht="15" hidden="false" customHeight="false" outlineLevel="0" collapsed="false">
      <c r="B52" s="7" t="n">
        <f aca="false">設定!B74</f>
        <v>0</v>
      </c>
      <c r="C52" s="25" t="str">
        <f aca="false">IF($B52="","",SUMIFS(在庫管理!$O$11:$O$110,在庫管理!$L$11:$L$110,"在庫中",在庫管理!$D$11:$D$110,$B52))</f>
        <v/>
      </c>
      <c r="D52" s="26" t="str">
        <f aca="false">IFERROR($C52/$C$7,"")</f>
        <v/>
      </c>
      <c r="E52" s="39" t="n">
        <f aca="false">IFERROR($D52^2*10000,0)</f>
        <v>0</v>
      </c>
      <c r="G52" s="7" t="n">
        <f aca="false">設定!B97</f>
        <v>0</v>
      </c>
      <c r="H52" s="25" t="str">
        <f aca="false">IF($G52="","",SUMIFS(在庫管理!$O$11:$O$110,在庫管理!$L$11:$L$110,"在庫中",在庫管理!$E$11:$E$110,$G52))</f>
        <v/>
      </c>
      <c r="I52" s="26" t="str">
        <f aca="false">IFERROR($H52/$C$7,"")</f>
        <v/>
      </c>
      <c r="J52" s="39" t="n">
        <f aca="false">IFERROR($I52^2*10000,0)</f>
        <v>0</v>
      </c>
    </row>
    <row r="53" customFormat="false" ht="15" hidden="false" customHeight="false" outlineLevel="0" collapsed="false">
      <c r="B53" s="43" t="s">
        <v>212</v>
      </c>
      <c r="C53" s="44" t="n">
        <f aca="false">MAX(0,SUMIFS(在庫管理!$O$11:$O$110,在庫管理!$L$11:$L$110,"在庫中")-SUM(C33:C52))</f>
        <v>0</v>
      </c>
      <c r="D53" s="45" t="n">
        <f aca="false">IFERROR($C53/$C$7,"")</f>
        <v>0</v>
      </c>
      <c r="E53" s="46" t="n">
        <f aca="false">IFERROR($D53^2*10000,0)</f>
        <v>0</v>
      </c>
      <c r="G53" s="43" t="s">
        <v>213</v>
      </c>
      <c r="H53" s="44" t="n">
        <f aca="false">MAX(0,SUMIFS(在庫管理!$O$11:$O$110,在庫管理!$L$11:$L$110,"在庫中")-SUM(H33:H52))</f>
        <v>67500</v>
      </c>
      <c r="I53" s="45" t="n">
        <f aca="false">IFERROR($H53/$C$7,"")</f>
        <v>0.685279187817259</v>
      </c>
      <c r="J53" s="46" t="n">
        <f aca="false">IFERROR($I53^2*10000,0)</f>
        <v>4696.07565255482</v>
      </c>
    </row>
    <row r="54" customFormat="false" ht="15" hidden="false" customHeight="false" outlineLevel="0" collapsed="false">
      <c r="B54" s="32" t="s">
        <v>166</v>
      </c>
      <c r="C54" s="34" t="n">
        <f aca="false">SUM(C33:C53)</f>
        <v>98500</v>
      </c>
      <c r="D54" s="33" t="n">
        <f aca="false">SUM(D33:D53)</f>
        <v>1</v>
      </c>
      <c r="E54" s="40" t="n">
        <f aca="false">SUM(E33:E53)</f>
        <v>3817.92883094128</v>
      </c>
      <c r="G54" s="32" t="s">
        <v>166</v>
      </c>
      <c r="H54" s="34" t="n">
        <f aca="false">SUM(H33:H53)</f>
        <v>98500</v>
      </c>
      <c r="I54" s="33" t="n">
        <f aca="false">SUM(I33:I53)</f>
        <v>1</v>
      </c>
      <c r="J54" s="40" t="n">
        <f aca="false">SUM(J33:J53)</f>
        <v>5686.56754876446</v>
      </c>
    </row>
    <row r="55" customFormat="false" ht="15" hidden="false" customHeight="false" outlineLevel="0" collapsed="false">
      <c r="B55" s="41" t="s">
        <v>211</v>
      </c>
      <c r="C55" s="42" t="str">
        <f aca="false">IF(E54&gt;=2500,"偏りが大きい（要注意）",IF(E54&gt;=1500,"中程度","分散（健全）"))</f>
        <v>偏りが大きい（要注意）</v>
      </c>
      <c r="D55" s="42"/>
      <c r="E55" s="42"/>
      <c r="G55" s="41" t="s">
        <v>211</v>
      </c>
      <c r="H55" s="42" t="str">
        <f aca="false">IF(J54&gt;=2500,"偏りが大きい（要注意）",IF(J54&gt;=1500,"中程度","分散（健全）"))</f>
        <v>偏りが大きい（要注意）</v>
      </c>
      <c r="I55" s="42"/>
      <c r="J55" s="42"/>
    </row>
    <row r="58" customFormat="false" ht="15" hidden="false" customHeight="false" outlineLevel="0" collapsed="false">
      <c r="B58" s="3" t="s">
        <v>214</v>
      </c>
    </row>
    <row r="59" customFormat="false" ht="15" hidden="false" customHeight="false" outlineLevel="0" collapsed="false">
      <c r="B59" s="2" t="s">
        <v>215</v>
      </c>
    </row>
    <row r="60" customFormat="false" ht="15" hidden="false" customHeight="false" outlineLevel="0" collapsed="false">
      <c r="B60" s="7" t="s">
        <v>216</v>
      </c>
      <c r="C60" s="26" t="n">
        <f aca="false">IFERROR(SUMPRODUCT((在庫管理!$L$11:$L$110="在庫中")*N(在庫管理!$T$11:$T$110)*N(在庫管理!$O$11:$O$110))/$C$7,"")</f>
        <v>3.70964125317877</v>
      </c>
    </row>
    <row r="61" customFormat="false" ht="15" hidden="false" customHeight="false" outlineLevel="0" collapsed="false">
      <c r="B61" s="7" t="s">
        <v>217</v>
      </c>
      <c r="C61" s="24" t="n">
        <f aca="false">IFERROR(SUMPRODUCT((在庫管理!$L$11:$L$110="在庫中")*N(在庫管理!$Q$11:$Q$110)*N(在庫管理!$O$11:$O$110))/$C$7,"")</f>
        <v>35.7299492385787</v>
      </c>
    </row>
    <row r="63" customFormat="false" ht="15" hidden="false" customHeight="false" outlineLevel="0" collapsed="false">
      <c r="B63" s="3" t="s">
        <v>218</v>
      </c>
    </row>
    <row r="64" customFormat="false" ht="15" hidden="false" customHeight="false" outlineLevel="0" collapsed="false">
      <c r="B64" s="2" t="s">
        <v>219</v>
      </c>
    </row>
    <row r="65" customFormat="false" ht="15" hidden="false" customHeight="false" outlineLevel="0" collapsed="false">
      <c r="B65" s="10" t="s">
        <v>128</v>
      </c>
      <c r="C65" s="10" t="s">
        <v>220</v>
      </c>
      <c r="D65" s="10" t="s">
        <v>209</v>
      </c>
    </row>
    <row r="66" customFormat="false" ht="15" hidden="false" customHeight="false" outlineLevel="0" collapsed="false">
      <c r="B66" s="17" t="s">
        <v>46</v>
      </c>
      <c r="C66" s="18" t="n">
        <f aca="false">COUNTIFS(在庫管理!$L$11:$L$110,"在庫中",在庫管理!$V$11:$V$110,$B66)</f>
        <v>1</v>
      </c>
      <c r="D66" s="26" t="n">
        <f aca="false">IFERROR($C66/$C$70,"")</f>
        <v>0.333333333333333</v>
      </c>
    </row>
    <row r="67" customFormat="false" ht="15" hidden="false" customHeight="false" outlineLevel="0" collapsed="false">
      <c r="B67" s="17" t="s">
        <v>51</v>
      </c>
      <c r="C67" s="18" t="n">
        <f aca="false">COUNTIFS(在庫管理!$L$11:$L$110,"在庫中",在庫管理!$V$11:$V$110,$B67)</f>
        <v>1</v>
      </c>
      <c r="D67" s="26" t="n">
        <f aca="false">IFERROR($C67/$C$70,"")</f>
        <v>0.333333333333333</v>
      </c>
    </row>
    <row r="68" customFormat="false" ht="15" hidden="false" customHeight="false" outlineLevel="0" collapsed="false">
      <c r="B68" s="17" t="s">
        <v>55</v>
      </c>
      <c r="C68" s="18" t="n">
        <f aca="false">COUNTIFS(在庫管理!$L$11:$L$110,"在庫中",在庫管理!$V$11:$V$110,$B68)</f>
        <v>1</v>
      </c>
      <c r="D68" s="26" t="n">
        <f aca="false">IFERROR($C68/$C$70,"")</f>
        <v>0.333333333333333</v>
      </c>
    </row>
    <row r="69" customFormat="false" ht="15" hidden="false" customHeight="false" outlineLevel="0" collapsed="false">
      <c r="B69" s="17" t="s">
        <v>59</v>
      </c>
      <c r="C69" s="18" t="n">
        <f aca="false">COUNTIFS(在庫管理!$L$11:$L$110,"在庫中",在庫管理!$V$11:$V$110,$B69)</f>
        <v>0</v>
      </c>
      <c r="D69" s="26" t="n">
        <f aca="false">IFERROR($C69/$C$70,"")</f>
        <v>0</v>
      </c>
    </row>
    <row r="70" customFormat="false" ht="15" hidden="false" customHeight="false" outlineLevel="0" collapsed="false">
      <c r="B70" s="32" t="s">
        <v>166</v>
      </c>
      <c r="C70" s="47" t="n">
        <f aca="false">SUM(C66:C69)</f>
        <v>3</v>
      </c>
      <c r="D70" s="33" t="n">
        <f aca="false">SUM(D66:D69)</f>
        <v>1</v>
      </c>
    </row>
    <row r="71" customFormat="false" ht="15" hidden="false" customHeight="false" outlineLevel="0" collapsed="false">
      <c r="B71" s="3" t="s">
        <v>221</v>
      </c>
    </row>
    <row r="72" customFormat="false" ht="15" hidden="false" customHeight="false" outlineLevel="0" collapsed="false">
      <c r="B72" s="10" t="s">
        <v>72</v>
      </c>
      <c r="C72" s="10" t="s">
        <v>208</v>
      </c>
      <c r="D72" s="10" t="s">
        <v>209</v>
      </c>
      <c r="E72" s="10" t="s">
        <v>210</v>
      </c>
      <c r="G72" s="10" t="s">
        <v>222</v>
      </c>
      <c r="H72" s="10" t="s">
        <v>208</v>
      </c>
      <c r="I72" s="10" t="s">
        <v>209</v>
      </c>
      <c r="J72" s="10" t="s">
        <v>210</v>
      </c>
    </row>
    <row r="73" customFormat="false" ht="15" hidden="false" customHeight="false" outlineLevel="0" collapsed="false">
      <c r="B73" s="7" t="str">
        <f aca="false">設定!B29</f>
        <v>SS</v>
      </c>
      <c r="C73" s="25" t="n">
        <f aca="false">SUMIFS(在庫管理!$O$11:$O$110,在庫管理!$L$11:$L$110,"在庫中",在庫管理!$I$11:$I$110,$B73)</f>
        <v>80000</v>
      </c>
      <c r="D73" s="26" t="n">
        <f aca="false">IFERROR($C73/$C$7,"")</f>
        <v>0.812182741116751</v>
      </c>
      <c r="E73" s="39" t="n">
        <f aca="false">IFERROR($D73^2*10000,0)</f>
        <v>6596.4080496792</v>
      </c>
      <c r="G73" s="7" t="str">
        <f aca="false">設定!B102</f>
        <v>スカーレット&amp;バイオレット 151</v>
      </c>
      <c r="H73" s="25" t="n">
        <f aca="false">IF($G73="","",SUMIFS(在庫管理!$O$11:$O$110,在庫管理!$L$11:$L$110,"在庫中",在庫管理!$F$11:$F$110,$G73))</f>
        <v>31000</v>
      </c>
      <c r="I73" s="26" t="n">
        <f aca="false">IFERROR($H73/$C$7,"")</f>
        <v>0.314720812182741</v>
      </c>
      <c r="J73" s="39" t="n">
        <f aca="false">IFERROR($I73^2*10000,0)</f>
        <v>990.491896209642</v>
      </c>
    </row>
    <row r="74" customFormat="false" ht="15" hidden="false" customHeight="false" outlineLevel="0" collapsed="false">
      <c r="B74" s="7" t="str">
        <f aca="false">設定!B30</f>
        <v>S</v>
      </c>
      <c r="C74" s="25" t="n">
        <f aca="false">SUMIFS(在庫管理!$O$11:$O$110,在庫管理!$L$11:$L$110,"在庫中",在庫管理!$I$11:$I$110,$B74)</f>
        <v>18500</v>
      </c>
      <c r="D74" s="26" t="n">
        <f aca="false">IFERROR($C74/$C$7,"")</f>
        <v>0.187817258883249</v>
      </c>
      <c r="E74" s="39" t="n">
        <f aca="false">IFERROR($D74^2*10000,0)</f>
        <v>352.753227344173</v>
      </c>
      <c r="G74" s="7" t="str">
        <f aca="false">設定!B103</f>
        <v>ROMANCE DAWN</v>
      </c>
      <c r="H74" s="25" t="n">
        <f aca="false">IF($G74="","",SUMIFS(在庫管理!$O$11:$O$110,在庫管理!$L$11:$L$110,"在庫中",在庫管理!$F$11:$F$110,$G74))</f>
        <v>18500</v>
      </c>
      <c r="I74" s="26" t="n">
        <f aca="false">IFERROR($H74/$C$7,"")</f>
        <v>0.187817258883249</v>
      </c>
      <c r="J74" s="39" t="n">
        <f aca="false">IFERROR($I74^2*10000,0)</f>
        <v>352.753227344173</v>
      </c>
    </row>
    <row r="75" customFormat="false" ht="15" hidden="false" customHeight="false" outlineLevel="0" collapsed="false">
      <c r="B75" s="7" t="str">
        <f aca="false">設定!B31</f>
        <v>A</v>
      </c>
      <c r="C75" s="25" t="n">
        <f aca="false">SUMIFS(在庫管理!$O$11:$O$110,在庫管理!$L$11:$L$110,"在庫中",在庫管理!$I$11:$I$110,$B75)</f>
        <v>0</v>
      </c>
      <c r="D75" s="26" t="n">
        <f aca="false">IFERROR($C75/$C$7,"")</f>
        <v>0</v>
      </c>
      <c r="E75" s="39" t="n">
        <f aca="false">IFERROR($D75^2*10000,0)</f>
        <v>0</v>
      </c>
      <c r="G75" s="7" t="str">
        <f aca="false">設定!B104</f>
        <v>25周年記念</v>
      </c>
      <c r="H75" s="25" t="n">
        <f aca="false">IF($G75="","",SUMIFS(在庫管理!$O$11:$O$110,在庫管理!$L$11:$L$110,"在庫中",在庫管理!$F$11:$F$110,$G75))</f>
        <v>0</v>
      </c>
      <c r="I75" s="26" t="n">
        <f aca="false">IFERROR($H75/$C$7,"")</f>
        <v>0</v>
      </c>
      <c r="J75" s="39" t="n">
        <f aca="false">IFERROR($I75^2*10000,0)</f>
        <v>0</v>
      </c>
    </row>
    <row r="76" customFormat="false" ht="15" hidden="false" customHeight="false" outlineLevel="0" collapsed="false">
      <c r="B76" s="7" t="str">
        <f aca="false">設定!B32</f>
        <v>B</v>
      </c>
      <c r="C76" s="25" t="n">
        <f aca="false">SUMIFS(在庫管理!$O$11:$O$110,在庫管理!$L$11:$L$110,"在庫中",在庫管理!$I$11:$I$110,$B76)</f>
        <v>0</v>
      </c>
      <c r="D76" s="26" t="n">
        <f aca="false">IFERROR($C76/$C$7,"")</f>
        <v>0</v>
      </c>
      <c r="E76" s="39" t="n">
        <f aca="false">IFERROR($D76^2*10000,0)</f>
        <v>0</v>
      </c>
      <c r="G76" s="7" t="n">
        <f aca="false">設定!B105</f>
        <v>0</v>
      </c>
      <c r="H76" s="25" t="str">
        <f aca="false">IF($G76="","",SUMIFS(在庫管理!$O$11:$O$110,在庫管理!$L$11:$L$110,"在庫中",在庫管理!$F$11:$F$110,$G76))</f>
        <v/>
      </c>
      <c r="I76" s="26" t="str">
        <f aca="false">IFERROR($H76/$C$7,"")</f>
        <v/>
      </c>
      <c r="J76" s="39" t="n">
        <f aca="false">IFERROR($I76^2*10000,0)</f>
        <v>0</v>
      </c>
    </row>
    <row r="77" customFormat="false" ht="15" hidden="false" customHeight="false" outlineLevel="0" collapsed="false">
      <c r="B77" s="7" t="str">
        <f aca="false">設定!B33</f>
        <v>C</v>
      </c>
      <c r="C77" s="25" t="n">
        <f aca="false">SUMIFS(在庫管理!$O$11:$O$110,在庫管理!$L$11:$L$110,"在庫中",在庫管理!$I$11:$I$110,$B77)</f>
        <v>0</v>
      </c>
      <c r="D77" s="26" t="n">
        <f aca="false">IFERROR($C77/$C$7,"")</f>
        <v>0</v>
      </c>
      <c r="E77" s="39" t="n">
        <f aca="false">IFERROR($D77^2*10000,0)</f>
        <v>0</v>
      </c>
      <c r="G77" s="7" t="n">
        <f aca="false">設定!B106</f>
        <v>0</v>
      </c>
      <c r="H77" s="25" t="str">
        <f aca="false">IF($G77="","",SUMIFS(在庫管理!$O$11:$O$110,在庫管理!$L$11:$L$110,"在庫中",在庫管理!$F$11:$F$110,$G77))</f>
        <v/>
      </c>
      <c r="I77" s="26" t="str">
        <f aca="false">IFERROR($H77/$C$7,"")</f>
        <v/>
      </c>
      <c r="J77" s="39" t="n">
        <f aca="false">IFERROR($I77^2*10000,0)</f>
        <v>0</v>
      </c>
    </row>
    <row r="78" customFormat="false" ht="15" hidden="false" customHeight="false" outlineLevel="0" collapsed="false">
      <c r="B78" s="32" t="s">
        <v>166</v>
      </c>
      <c r="C78" s="34" t="n">
        <f aca="false">SUM(C73:C77)</f>
        <v>98500</v>
      </c>
      <c r="D78" s="33" t="n">
        <f aca="false">SUM(D73:D77)</f>
        <v>1</v>
      </c>
      <c r="E78" s="40" t="n">
        <f aca="false">SUM(E73:E77)</f>
        <v>6949.16127702337</v>
      </c>
      <c r="G78" s="7" t="n">
        <f aca="false">設定!B107</f>
        <v>0</v>
      </c>
      <c r="H78" s="25" t="str">
        <f aca="false">IF($G78="","",SUMIFS(在庫管理!$O$11:$O$110,在庫管理!$L$11:$L$110,"在庫中",在庫管理!$F$11:$F$110,$G78))</f>
        <v/>
      </c>
      <c r="I78" s="26" t="str">
        <f aca="false">IFERROR($H78/$C$7,"")</f>
        <v/>
      </c>
      <c r="J78" s="39" t="n">
        <f aca="false">IFERROR($I78^2*10000,0)</f>
        <v>0</v>
      </c>
    </row>
    <row r="79" customFormat="false" ht="15" hidden="false" customHeight="false" outlineLevel="0" collapsed="false">
      <c r="B79" s="41" t="s">
        <v>211</v>
      </c>
      <c r="C79" s="42" t="str">
        <f aca="false">IF(E78&gt;=2500,"偏りが大きい（要注意）",IF(E78&gt;=1500,"中程度","分散（健全）"))</f>
        <v>偏りが大きい（要注意）</v>
      </c>
      <c r="D79" s="42"/>
      <c r="E79" s="42"/>
      <c r="G79" s="7" t="n">
        <f aca="false">設定!B108</f>
        <v>0</v>
      </c>
      <c r="H79" s="25" t="str">
        <f aca="false">IF($G79="","",SUMIFS(在庫管理!$O$11:$O$110,在庫管理!$L$11:$L$110,"在庫中",在庫管理!$F$11:$F$110,$G79))</f>
        <v/>
      </c>
      <c r="I79" s="26" t="str">
        <f aca="false">IFERROR($H79/$C$7,"")</f>
        <v/>
      </c>
      <c r="J79" s="39" t="n">
        <f aca="false">IFERROR($I79^2*10000,0)</f>
        <v>0</v>
      </c>
    </row>
    <row r="80" customFormat="false" ht="15" hidden="false" customHeight="false" outlineLevel="0" collapsed="false">
      <c r="G80" s="7" t="n">
        <f aca="false">設定!B109</f>
        <v>0</v>
      </c>
      <c r="H80" s="25" t="str">
        <f aca="false">IF($G80="","",SUMIFS(在庫管理!$O$11:$O$110,在庫管理!$L$11:$L$110,"在庫中",在庫管理!$F$11:$F$110,$G80))</f>
        <v/>
      </c>
      <c r="I80" s="26" t="str">
        <f aca="false">IFERROR($H80/$C$7,"")</f>
        <v/>
      </c>
      <c r="J80" s="39" t="n">
        <f aca="false">IFERROR($I80^2*10000,0)</f>
        <v>0</v>
      </c>
    </row>
    <row r="81" customFormat="false" ht="15" hidden="false" customHeight="false" outlineLevel="0" collapsed="false">
      <c r="G81" s="7" t="n">
        <f aca="false">設定!B110</f>
        <v>0</v>
      </c>
      <c r="H81" s="25" t="str">
        <f aca="false">IF($G81="","",SUMIFS(在庫管理!$O$11:$O$110,在庫管理!$L$11:$L$110,"在庫中",在庫管理!$F$11:$F$110,$G81))</f>
        <v/>
      </c>
      <c r="I81" s="26" t="str">
        <f aca="false">IFERROR($H81/$C$7,"")</f>
        <v/>
      </c>
      <c r="J81" s="39" t="n">
        <f aca="false">IFERROR($I81^2*10000,0)</f>
        <v>0</v>
      </c>
    </row>
    <row r="82" customFormat="false" ht="15" hidden="false" customHeight="false" outlineLevel="0" collapsed="false">
      <c r="G82" s="7" t="n">
        <f aca="false">設定!B111</f>
        <v>0</v>
      </c>
      <c r="H82" s="25" t="str">
        <f aca="false">IF($G82="","",SUMIFS(在庫管理!$O$11:$O$110,在庫管理!$L$11:$L$110,"在庫中",在庫管理!$F$11:$F$110,$G82))</f>
        <v/>
      </c>
      <c r="I82" s="26" t="str">
        <f aca="false">IFERROR($H82/$C$7,"")</f>
        <v/>
      </c>
      <c r="J82" s="39" t="n">
        <f aca="false">IFERROR($I82^2*10000,0)</f>
        <v>0</v>
      </c>
    </row>
    <row r="83" customFormat="false" ht="15" hidden="false" customHeight="false" outlineLevel="0" collapsed="false">
      <c r="G83" s="7" t="n">
        <f aca="false">設定!B112</f>
        <v>0</v>
      </c>
      <c r="H83" s="25" t="str">
        <f aca="false">IF($G83="","",SUMIFS(在庫管理!$O$11:$O$110,在庫管理!$L$11:$L$110,"在庫中",在庫管理!$F$11:$F$110,$G83))</f>
        <v/>
      </c>
      <c r="I83" s="26" t="str">
        <f aca="false">IFERROR($H83/$C$7,"")</f>
        <v/>
      </c>
      <c r="J83" s="39" t="n">
        <f aca="false">IFERROR($I83^2*10000,0)</f>
        <v>0</v>
      </c>
    </row>
    <row r="84" customFormat="false" ht="15" hidden="false" customHeight="false" outlineLevel="0" collapsed="false">
      <c r="G84" s="7" t="n">
        <f aca="false">設定!B113</f>
        <v>0</v>
      </c>
      <c r="H84" s="25" t="str">
        <f aca="false">IF($G84="","",SUMIFS(在庫管理!$O$11:$O$110,在庫管理!$L$11:$L$110,"在庫中",在庫管理!$F$11:$F$110,$G84))</f>
        <v/>
      </c>
      <c r="I84" s="26" t="str">
        <f aca="false">IFERROR($H84/$C$7,"")</f>
        <v/>
      </c>
      <c r="J84" s="39" t="n">
        <f aca="false">IFERROR($I84^2*10000,0)</f>
        <v>0</v>
      </c>
    </row>
    <row r="85" customFormat="false" ht="15" hidden="false" customHeight="false" outlineLevel="0" collapsed="false">
      <c r="G85" s="7" t="n">
        <f aca="false">設定!B114</f>
        <v>0</v>
      </c>
      <c r="H85" s="25" t="str">
        <f aca="false">IF($G85="","",SUMIFS(在庫管理!$O$11:$O$110,在庫管理!$L$11:$L$110,"在庫中",在庫管理!$F$11:$F$110,$G85))</f>
        <v/>
      </c>
      <c r="I85" s="26" t="str">
        <f aca="false">IFERROR($H85/$C$7,"")</f>
        <v/>
      </c>
      <c r="J85" s="39" t="n">
        <f aca="false">IFERROR($I85^2*10000,0)</f>
        <v>0</v>
      </c>
    </row>
    <row r="86" customFormat="false" ht="15" hidden="false" customHeight="false" outlineLevel="0" collapsed="false">
      <c r="G86" s="7" t="n">
        <f aca="false">設定!B115</f>
        <v>0</v>
      </c>
      <c r="H86" s="25" t="str">
        <f aca="false">IF($G86="","",SUMIFS(在庫管理!$O$11:$O$110,在庫管理!$L$11:$L$110,"在庫中",在庫管理!$F$11:$F$110,$G86))</f>
        <v/>
      </c>
      <c r="I86" s="26" t="str">
        <f aca="false">IFERROR($H86/$C$7,"")</f>
        <v/>
      </c>
      <c r="J86" s="39" t="n">
        <f aca="false">IFERROR($I86^2*10000,0)</f>
        <v>0</v>
      </c>
    </row>
    <row r="87" customFormat="false" ht="15" hidden="false" customHeight="false" outlineLevel="0" collapsed="false">
      <c r="G87" s="7" t="n">
        <f aca="false">設定!B116</f>
        <v>0</v>
      </c>
      <c r="H87" s="25" t="str">
        <f aca="false">IF($G87="","",SUMIFS(在庫管理!$O$11:$O$110,在庫管理!$L$11:$L$110,"在庫中",在庫管理!$F$11:$F$110,$G87))</f>
        <v/>
      </c>
      <c r="I87" s="26" t="str">
        <f aca="false">IFERROR($H87/$C$7,"")</f>
        <v/>
      </c>
      <c r="J87" s="39" t="n">
        <f aca="false">IFERROR($I87^2*10000,0)</f>
        <v>0</v>
      </c>
    </row>
    <row r="88" customFormat="false" ht="15" hidden="false" customHeight="false" outlineLevel="0" collapsed="false">
      <c r="G88" s="7" t="n">
        <f aca="false">設定!B117</f>
        <v>0</v>
      </c>
      <c r="H88" s="25" t="str">
        <f aca="false">IF($G88="","",SUMIFS(在庫管理!$O$11:$O$110,在庫管理!$L$11:$L$110,"在庫中",在庫管理!$F$11:$F$110,$G88))</f>
        <v/>
      </c>
      <c r="I88" s="26" t="str">
        <f aca="false">IFERROR($H88/$C$7,"")</f>
        <v/>
      </c>
      <c r="J88" s="39" t="n">
        <f aca="false">IFERROR($I88^2*10000,0)</f>
        <v>0</v>
      </c>
    </row>
    <row r="89" customFormat="false" ht="15" hidden="false" customHeight="false" outlineLevel="0" collapsed="false">
      <c r="G89" s="7" t="n">
        <f aca="false">設定!B118</f>
        <v>0</v>
      </c>
      <c r="H89" s="25" t="str">
        <f aca="false">IF($G89="","",SUMIFS(在庫管理!$O$11:$O$110,在庫管理!$L$11:$L$110,"在庫中",在庫管理!$F$11:$F$110,$G89))</f>
        <v/>
      </c>
      <c r="I89" s="26" t="str">
        <f aca="false">IFERROR($H89/$C$7,"")</f>
        <v/>
      </c>
      <c r="J89" s="39" t="n">
        <f aca="false">IFERROR($I89^2*10000,0)</f>
        <v>0</v>
      </c>
    </row>
    <row r="90" customFormat="false" ht="15" hidden="false" customHeight="false" outlineLevel="0" collapsed="false">
      <c r="G90" s="7" t="n">
        <f aca="false">設定!B119</f>
        <v>0</v>
      </c>
      <c r="H90" s="25" t="str">
        <f aca="false">IF($G90="","",SUMIFS(在庫管理!$O$11:$O$110,在庫管理!$L$11:$L$110,"在庫中",在庫管理!$F$11:$F$110,$G90))</f>
        <v/>
      </c>
      <c r="I90" s="26" t="str">
        <f aca="false">IFERROR($H90/$C$7,"")</f>
        <v/>
      </c>
      <c r="J90" s="39" t="n">
        <f aca="false">IFERROR($I90^2*10000,0)</f>
        <v>0</v>
      </c>
    </row>
    <row r="91" customFormat="false" ht="15" hidden="false" customHeight="false" outlineLevel="0" collapsed="false">
      <c r="G91" s="7" t="n">
        <f aca="false">設定!B120</f>
        <v>0</v>
      </c>
      <c r="H91" s="25" t="str">
        <f aca="false">IF($G91="","",SUMIFS(在庫管理!$O$11:$O$110,在庫管理!$L$11:$L$110,"在庫中",在庫管理!$F$11:$F$110,$G91))</f>
        <v/>
      </c>
      <c r="I91" s="26" t="str">
        <f aca="false">IFERROR($H91/$C$7,"")</f>
        <v/>
      </c>
      <c r="J91" s="39" t="n">
        <f aca="false">IFERROR($I91^2*10000,0)</f>
        <v>0</v>
      </c>
    </row>
    <row r="92" customFormat="false" ht="15" hidden="false" customHeight="false" outlineLevel="0" collapsed="false">
      <c r="G92" s="7" t="n">
        <f aca="false">設定!B121</f>
        <v>0</v>
      </c>
      <c r="H92" s="25" t="str">
        <f aca="false">IF($G92="","",SUMIFS(在庫管理!$O$11:$O$110,在庫管理!$L$11:$L$110,"在庫中",在庫管理!$F$11:$F$110,$G92))</f>
        <v/>
      </c>
      <c r="I92" s="26" t="str">
        <f aca="false">IFERROR($H92/$C$7,"")</f>
        <v/>
      </c>
      <c r="J92" s="39" t="n">
        <f aca="false">IFERROR($I92^2*10000,0)</f>
        <v>0</v>
      </c>
    </row>
    <row r="93" customFormat="false" ht="15" hidden="false" customHeight="false" outlineLevel="0" collapsed="false">
      <c r="G93" s="43" t="s">
        <v>213</v>
      </c>
      <c r="H93" s="44" t="n">
        <f aca="false">MAX(0,SUMIFS(在庫管理!$O$11:$O$110,在庫管理!$L$11:$L$110,"在庫中")-SUM(H73:H92))</f>
        <v>49000</v>
      </c>
      <c r="I93" s="45" t="n">
        <f aca="false">IFERROR($H93/$C$7,"")</f>
        <v>0.49746192893401</v>
      </c>
      <c r="J93" s="46" t="n">
        <f aca="false">IFERROR($I93^2*10000,0)</f>
        <v>2474.68370738746</v>
      </c>
    </row>
    <row r="94" customFormat="false" ht="15" hidden="false" customHeight="false" outlineLevel="0" collapsed="false">
      <c r="G94" s="32" t="s">
        <v>166</v>
      </c>
      <c r="H94" s="34" t="n">
        <f aca="false">SUM(H73:H93)</f>
        <v>98500</v>
      </c>
      <c r="I94" s="33" t="n">
        <f aca="false">SUM(I73:I93)</f>
        <v>1</v>
      </c>
      <c r="J94" s="40" t="n">
        <f aca="false">SUM(J73:J93)</f>
        <v>3817.92883094128</v>
      </c>
    </row>
    <row r="95" customFormat="false" ht="15" hidden="false" customHeight="false" outlineLevel="0" collapsed="false">
      <c r="G95" s="41" t="s">
        <v>211</v>
      </c>
      <c r="H95" s="42" t="str">
        <f aca="false">IF(J94&gt;=2500,"偏りが大きい（要注意）",IF(J94&gt;=1500,"中程度","分散（健全）"))</f>
        <v>偏りが大きい（要注意）</v>
      </c>
      <c r="I95" s="42"/>
      <c r="J95" s="42"/>
    </row>
  </sheetData>
  <mergeCells count="6">
    <mergeCell ref="H28:J28"/>
    <mergeCell ref="C30:E30"/>
    <mergeCell ref="C55:E55"/>
    <mergeCell ref="H55:J55"/>
    <mergeCell ref="C79:E79"/>
    <mergeCell ref="H95:J95"/>
  </mergeCells>
  <conditionalFormatting sqref="E23:E28">
    <cfRule type="colorScale" priority="2">
      <colorScale>
        <cfvo type="num" val="0"/>
        <cfvo type="num" val="2500"/>
        <cfvo type="num" val="10000"/>
        <color rgb="FFC6EFCE"/>
        <color rgb="FFFFEB9C"/>
        <color rgb="FFFFC7CE"/>
      </colorScale>
    </cfRule>
  </conditionalFormatting>
  <conditionalFormatting sqref="J23:J26">
    <cfRule type="colorScale" priority="3">
      <colorScale>
        <cfvo type="num" val="0"/>
        <cfvo type="num" val="2500"/>
        <cfvo type="num" val="10000"/>
        <color rgb="FFC6EFCE"/>
        <color rgb="FFFFEB9C"/>
        <color rgb="FFFFC7CE"/>
      </colorScale>
    </cfRule>
  </conditionalFormatting>
  <conditionalFormatting sqref="E33:E53">
    <cfRule type="colorScale" priority="4">
      <colorScale>
        <cfvo type="num" val="0"/>
        <cfvo type="num" val="2500"/>
        <cfvo type="num" val="10000"/>
        <color rgb="FFC6EFCE"/>
        <color rgb="FFFFEB9C"/>
        <color rgb="FFFFC7CE"/>
      </colorScale>
    </cfRule>
  </conditionalFormatting>
  <conditionalFormatting sqref="J33:J53">
    <cfRule type="colorScale" priority="5">
      <colorScale>
        <cfvo type="num" val="0"/>
        <cfvo type="num" val="2500"/>
        <cfvo type="num" val="10000"/>
        <color rgb="FFC6EFCE"/>
        <color rgb="FFFFEB9C"/>
        <color rgb="FFFFC7CE"/>
      </colorScale>
    </cfRule>
  </conditionalFormatting>
  <conditionalFormatting sqref="E73:E77">
    <cfRule type="colorScale" priority="6">
      <colorScale>
        <cfvo type="num" val="0"/>
        <cfvo type="num" val="2500"/>
        <cfvo type="num" val="10000"/>
        <color rgb="FFC6EFCE"/>
        <color rgb="FFFFEB9C"/>
        <color rgb="FFFFC7CE"/>
      </colorScale>
    </cfRule>
  </conditionalFormatting>
  <conditionalFormatting sqref="J73:J93">
    <cfRule type="colorScale" priority="7">
      <colorScale>
        <cfvo type="num" val="0"/>
        <cfvo type="num" val="2500"/>
        <cfvo type="num" val="10000"/>
        <color rgb="FFC6EFCE"/>
        <color rgb="FFFFEB9C"/>
        <color rgb="FFFFC7CE"/>
      </colorScale>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2026-08-03T00:23:25Z</dcterms:created>
  <dc:creator>openpyxl</dc:creator>
  <dc:description/>
  <dc:language>en-US</dc:language>
  <cp:lastModifiedBy/>
  <dcterms:modified xsi:type="dcterms:W3CDTF">2026-08-03T00:23:27Z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