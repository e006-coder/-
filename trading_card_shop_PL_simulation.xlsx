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パターン比較概要" sheetId="1" state="visible" r:id="rId1"/>
    <sheet name="パターンA_EC特化" sheetId="2" state="visible" r:id="rId2"/>
    <sheet name="パターンB_大型実店舗" sheetId="3" state="visible" r:id="rId3"/>
    <sheet name="パターンC_ハイブリッ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0">
    <font>
      <name val="Calibri"/>
      <family val="2"/>
      <color theme="1"/>
      <sz val="11"/>
      <scheme val="minor"/>
    </font>
    <font>
      <name val="メイリオ"/>
      <b val="1"/>
      <color rgb="00595959"/>
      <sz val="16"/>
    </font>
    <font>
      <name val="メイリオ"/>
      <i val="1"/>
      <color rgb="00595959"/>
      <sz val="10"/>
    </font>
    <font>
      <name val="メイリオ"/>
      <b val="1"/>
      <color rgb="00FFFFFF"/>
      <sz val="11"/>
    </font>
    <font>
      <name val="メイリオ"/>
      <b val="1"/>
      <color rgb="00FFFFFF"/>
      <sz val="10"/>
    </font>
    <font>
      <name val="メイリオ"/>
      <color rgb="001F1F1F"/>
      <sz val="10"/>
    </font>
    <font>
      <name val="メイリオ"/>
      <color rgb="00000000"/>
      <sz val="10"/>
    </font>
    <font>
      <name val="メイリオ"/>
      <b val="1"/>
      <color rgb="00000000"/>
      <sz val="10"/>
    </font>
    <font>
      <name val="メイリオ"/>
      <b val="1"/>
      <color rgb="001F1F1F"/>
      <sz val="10"/>
    </font>
    <font>
      <name val="メイリオ"/>
      <i val="1"/>
      <color rgb="00000000"/>
      <sz val="10"/>
    </font>
    <font>
      <name val="メイリオ"/>
      <b val="1"/>
      <color rgb="00595959"/>
      <sz val="11"/>
    </font>
    <font>
      <name val="メイリオ"/>
      <b val="1"/>
      <color rgb="001E6B44"/>
      <sz val="16"/>
    </font>
    <font>
      <name val="メイリオ"/>
      <b val="1"/>
      <color rgb="001E6B44"/>
      <sz val="11"/>
    </font>
    <font>
      <name val="メイリオ"/>
      <b val="1"/>
      <color rgb="001D6570"/>
      <sz val="16"/>
    </font>
    <font>
      <name val="メイリオ"/>
      <b val="1"/>
      <color rgb="001D6570"/>
      <sz val="11"/>
    </font>
    <font>
      <name val="メイリオ"/>
      <b val="1"/>
      <color rgb="001F3864"/>
      <sz val="18"/>
    </font>
    <font>
      <name val="メイリオ"/>
      <sz val="10"/>
    </font>
    <font>
      <name val="メイリオ"/>
      <b val="1"/>
      <sz val="10"/>
    </font>
    <font>
      <name val="メイリオ"/>
      <b val="1"/>
      <color rgb="001F3864"/>
      <sz val="14"/>
    </font>
    <font>
      <name val="メイリオ"/>
      <b val="1"/>
      <sz val="11"/>
    </font>
  </fonts>
  <fills count="11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1E6B44"/>
      </patternFill>
    </fill>
    <fill>
      <patternFill patternType="solid">
        <fgColor rgb="001D6570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6" fillId="3" borderId="1" applyAlignment="1" pivotButton="0" quotePrefix="0" xfId="0">
      <alignment horizontal="left" vertical="center"/>
    </xf>
    <xf numFmtId="3" fontId="16" fillId="3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left" vertical="center"/>
    </xf>
    <xf numFmtId="3" fontId="17" fillId="4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left" vertical="center"/>
    </xf>
    <xf numFmtId="3" fontId="17" fillId="5" borderId="1" applyAlignment="1" pivotButton="0" quotePrefix="0" xfId="0">
      <alignment horizontal="right" vertical="center"/>
    </xf>
    <xf numFmtId="0" fontId="17" fillId="6" borderId="1" applyAlignment="1" pivotButton="0" quotePrefix="0" xfId="0">
      <alignment horizontal="left" vertical="center"/>
    </xf>
    <xf numFmtId="3" fontId="17" fillId="6" borderId="1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/>
    </xf>
    <xf numFmtId="3" fontId="19" fillId="10" borderId="1" applyAlignment="1" pivotButton="0" quotePrefix="0" xfId="0">
      <alignment horizontal="right" vertical="center"/>
    </xf>
    <xf numFmtId="3" fontId="19" fillId="5" borderId="1" applyAlignment="1" pivotButton="0" quotePrefix="0" xfId="0">
      <alignment horizontal="right" vertical="center"/>
    </xf>
    <xf numFmtId="164" fontId="19" fillId="5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3" fontId="6" fillId="3" borderId="1" applyAlignment="1" pivotButton="0" quotePrefix="0" xfId="0">
      <alignment horizontal="right" vertical="center"/>
    </xf>
    <xf numFmtId="3" fontId="7" fillId="3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right" vertical="center"/>
    </xf>
    <xf numFmtId="3" fontId="9" fillId="3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3" fontId="7" fillId="6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2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20" customWidth="1" min="4" max="4"/>
    <col width="20" customWidth="1" min="5" max="5"/>
    <col width="3" customWidth="1" min="6" max="6"/>
  </cols>
  <sheetData>
    <row r="1" ht="8" customHeight="1"/>
    <row r="2" ht="40" customHeight="1">
      <c r="B2" s="1" t="inlineStr">
        <is>
          <t>トレーディングカードショップ　3パターン年間PLシミュレーション</t>
        </is>
      </c>
    </row>
    <row r="3" ht="20" customHeight="1">
      <c r="B3" s="2" t="inlineStr">
        <is>
          <t>期間：2026年7月〜2027年7月（13ヶ月）　　単位：円　　※数値を変更すると全シートが自動連動します</t>
        </is>
      </c>
    </row>
    <row r="4" ht="8" customHeight="1"/>
    <row r="5" ht="36" customHeight="1">
      <c r="B5" s="3" t="inlineStr">
        <is>
          <t>項　目</t>
        </is>
      </c>
      <c r="C5" s="4" t="inlineStr">
        <is>
          <t>パターンA
EC特化（無店舗）</t>
        </is>
      </c>
      <c r="D5" s="5" t="inlineStr">
        <is>
          <t>パターンB
大型実店舗</t>
        </is>
      </c>
      <c r="E5" s="6" t="inlineStr">
        <is>
          <t>パターンC
ハイブリッド</t>
        </is>
      </c>
    </row>
    <row r="6" ht="22" customHeight="1">
      <c r="B6" s="7" t="inlineStr">
        <is>
          <t>▌ 売上高</t>
        </is>
      </c>
      <c r="C6" s="8" t="n"/>
      <c r="D6" s="8" t="n"/>
      <c r="E6" s="9" t="n"/>
    </row>
    <row r="7" ht="22" customHeight="1">
      <c r="B7" s="10" t="inlineStr">
        <is>
          <t xml:space="preserve">  新品売上</t>
        </is>
      </c>
      <c r="C7" s="11">
        <f>'パターンA_EC特化'!P7</f>
        <v/>
      </c>
      <c r="D7" s="11">
        <f>'パターンB_大型実店舗'!P7</f>
        <v/>
      </c>
      <c r="E7" s="11">
        <f>'パターンC_ハイブリッド'!P7</f>
        <v/>
      </c>
    </row>
    <row r="8" ht="22" customHeight="1">
      <c r="B8" s="10" t="inlineStr">
        <is>
          <t xml:space="preserve">  中古売上</t>
        </is>
      </c>
      <c r="C8" s="11">
        <f>'パターンA_EC特化'!P8</f>
        <v/>
      </c>
      <c r="D8" s="11">
        <f>'パターンB_大型実店舗'!P8</f>
        <v/>
      </c>
      <c r="E8" s="11">
        <f>'パターンC_ハイブリッド'!P8</f>
        <v/>
      </c>
    </row>
    <row r="9" ht="22" customHeight="1">
      <c r="B9" s="12" t="inlineStr">
        <is>
          <t xml:space="preserve">  売上合計</t>
        </is>
      </c>
      <c r="C9" s="13">
        <f>'パターンA_EC特化'!P9</f>
        <v/>
      </c>
      <c r="D9" s="13">
        <f>'パターンB_大型実店舗'!P9</f>
        <v/>
      </c>
      <c r="E9" s="13">
        <f>'パターンC_ハイブリッド'!P9</f>
        <v/>
      </c>
    </row>
    <row r="10" ht="8" customHeight="1"/>
    <row r="11" ht="22" customHeight="1">
      <c r="B11" s="7" t="inlineStr">
        <is>
          <t>▌ 売上原価</t>
        </is>
      </c>
      <c r="C11" s="8" t="n"/>
      <c r="D11" s="8" t="n"/>
      <c r="E11" s="9" t="n"/>
    </row>
    <row r="12" ht="22" customHeight="1">
      <c r="B12" s="10" t="inlineStr">
        <is>
          <t xml:space="preserve">  新品原価</t>
        </is>
      </c>
      <c r="C12" s="11">
        <f>'パターンA_EC特化'!P12</f>
        <v/>
      </c>
      <c r="D12" s="11">
        <f>'パターンB_大型実店舗'!P12</f>
        <v/>
      </c>
      <c r="E12" s="11">
        <f>'パターンC_ハイブリッド'!P12</f>
        <v/>
      </c>
    </row>
    <row r="13" ht="22" customHeight="1">
      <c r="B13" s="10" t="inlineStr">
        <is>
          <t xml:space="preserve">  中古原価</t>
        </is>
      </c>
      <c r="C13" s="11">
        <f>'パターンA_EC特化'!P13</f>
        <v/>
      </c>
      <c r="D13" s="11">
        <f>'パターンB_大型実店舗'!P13</f>
        <v/>
      </c>
      <c r="E13" s="11">
        <f>'パターンC_ハイブリッド'!P13</f>
        <v/>
      </c>
    </row>
    <row r="14" ht="22" customHeight="1">
      <c r="B14" s="12" t="inlineStr">
        <is>
          <t xml:space="preserve">  原価合計</t>
        </is>
      </c>
      <c r="C14" s="13">
        <f>'パターンA_EC特化'!P14</f>
        <v/>
      </c>
      <c r="D14" s="13">
        <f>'パターンB_大型実店舗'!P14</f>
        <v/>
      </c>
      <c r="E14" s="13">
        <f>'パターンC_ハイブリッド'!P14</f>
        <v/>
      </c>
    </row>
    <row r="15" ht="8" customHeight="1"/>
    <row r="16" ht="22" customHeight="1">
      <c r="B16" s="14" t="inlineStr">
        <is>
          <t>▌ 売上総利益（粗利）</t>
        </is>
      </c>
      <c r="C16" s="15">
        <f>'パターンA_EC特化'!P16</f>
        <v/>
      </c>
      <c r="D16" s="15">
        <f>'パターンB_大型実店舗'!P16</f>
        <v/>
      </c>
      <c r="E16" s="15">
        <f>'パターンC_ハイブリッド'!P16</f>
        <v/>
      </c>
    </row>
    <row r="17" ht="8" customHeight="1"/>
    <row r="18" ht="22" customHeight="1">
      <c r="B18" s="7" t="inlineStr">
        <is>
          <t>▌ 販売管理費</t>
        </is>
      </c>
      <c r="C18" s="8" t="n"/>
      <c r="D18" s="8" t="n"/>
      <c r="E18" s="9" t="n"/>
    </row>
    <row r="19" ht="22" customHeight="1">
      <c r="B19" s="10" t="inlineStr">
        <is>
          <t xml:space="preserve">  地代家賃</t>
        </is>
      </c>
      <c r="C19" s="11">
        <f>'パターンA_EC特化'!P19</f>
        <v/>
      </c>
      <c r="D19" s="11">
        <f>'パターンB_大型実店舗'!P19</f>
        <v/>
      </c>
      <c r="E19" s="11">
        <f>'パターンC_ハイブリッド'!P19</f>
        <v/>
      </c>
    </row>
    <row r="20" ht="22" customHeight="1">
      <c r="B20" s="10" t="inlineStr">
        <is>
          <t xml:space="preserve">  人件費（正社員）</t>
        </is>
      </c>
      <c r="C20" s="11">
        <f>'パターンA_EC特化'!P20</f>
        <v/>
      </c>
      <c r="D20" s="11">
        <f>'パターンB_大型実店舗'!P20</f>
        <v/>
      </c>
      <c r="E20" s="11">
        <f>'パターンC_ハイブリッド'!P20</f>
        <v/>
      </c>
    </row>
    <row r="21" ht="22" customHeight="1">
      <c r="B21" s="10" t="inlineStr">
        <is>
          <t xml:space="preserve">  人件費（アルバイト）</t>
        </is>
      </c>
      <c r="C21" s="11">
        <f>'パターンA_EC特化'!P21</f>
        <v/>
      </c>
      <c r="D21" s="11">
        <f>'パターンB_大型実店舗'!P21</f>
        <v/>
      </c>
      <c r="E21" s="11">
        <f>'パターンC_ハイブリッド'!P21</f>
        <v/>
      </c>
    </row>
    <row r="22" ht="22" customHeight="1">
      <c r="B22" s="10" t="inlineStr">
        <is>
          <t xml:space="preserve">  広告・イベント費</t>
        </is>
      </c>
      <c r="C22" s="11">
        <f>'パターンA_EC特化'!P22</f>
        <v/>
      </c>
      <c r="D22" s="11">
        <f>'パターンB_大型実店舗'!P22</f>
        <v/>
      </c>
      <c r="E22" s="11">
        <f>'パターンC_ハイブリッド'!P22</f>
        <v/>
      </c>
    </row>
    <row r="23" ht="22" customHeight="1">
      <c r="B23" s="10" t="inlineStr">
        <is>
          <t xml:space="preserve">  EC決済手数料</t>
        </is>
      </c>
      <c r="C23" s="11">
        <f>'パターンA_EC特化'!P23</f>
        <v/>
      </c>
      <c r="D23" s="11">
        <f>'パターンB_大型実店舗'!P23</f>
        <v/>
      </c>
      <c r="E23" s="11">
        <f>'パターンC_ハイブリッド'!P23</f>
        <v/>
      </c>
    </row>
    <row r="24" ht="22" customHeight="1">
      <c r="B24" s="10" t="inlineStr">
        <is>
          <t xml:space="preserve">  荷造運賃</t>
        </is>
      </c>
      <c r="C24" s="11">
        <f>'パターンA_EC特化'!P24</f>
        <v/>
      </c>
      <c r="D24" s="11">
        <f>'パターンB_大型実店舗'!P24</f>
        <v/>
      </c>
      <c r="E24" s="11">
        <f>'パターンC_ハイブリッド'!P24</f>
        <v/>
      </c>
    </row>
    <row r="25" ht="22" customHeight="1">
      <c r="B25" s="10" t="inlineStr">
        <is>
          <t xml:space="preserve">  水道光熱費等</t>
        </is>
      </c>
      <c r="C25" s="11">
        <f>'パターンA_EC特化'!P25</f>
        <v/>
      </c>
      <c r="D25" s="11">
        <f>'パターンB_大型実店舗'!P25</f>
        <v/>
      </c>
      <c r="E25" s="11">
        <f>'パターンC_ハイブリッド'!P25</f>
        <v/>
      </c>
    </row>
    <row r="26" ht="22" customHeight="1">
      <c r="B26" s="12" t="inlineStr">
        <is>
          <t xml:space="preserve">  販管費合計</t>
        </is>
      </c>
      <c r="C26" s="13">
        <f>'パターンA_EC特化'!P26</f>
        <v/>
      </c>
      <c r="D26" s="13">
        <f>'パターンB_大型実店舗'!P26</f>
        <v/>
      </c>
      <c r="E26" s="13">
        <f>'パターンC_ハイブリッド'!P26</f>
        <v/>
      </c>
    </row>
    <row r="27" ht="8" customHeight="1"/>
    <row r="28" ht="22" customHeight="1">
      <c r="B28" s="16" t="inlineStr">
        <is>
          <t>▌ 営業利益</t>
        </is>
      </c>
      <c r="C28" s="17">
        <f>'パターンA_EC特化'!P28</f>
        <v/>
      </c>
      <c r="D28" s="17">
        <f>'パターンB_大型実店舗'!P28</f>
        <v/>
      </c>
      <c r="E28" s="17">
        <f>'パターンC_ハイブリッド'!P28</f>
        <v/>
      </c>
    </row>
    <row r="32" ht="28" customHeight="1">
      <c r="B32" s="18" t="inlineStr">
        <is>
          <t>★ 年間サマリー比較</t>
        </is>
      </c>
    </row>
    <row r="33" ht="28" customHeight="1">
      <c r="B33" s="19" t="inlineStr">
        <is>
          <t>指標</t>
        </is>
      </c>
      <c r="C33" s="20" t="inlineStr">
        <is>
          <t>パターンA</t>
        </is>
      </c>
      <c r="D33" s="21" t="inlineStr">
        <is>
          <t>パターンB</t>
        </is>
      </c>
      <c r="E33" s="22" t="inlineStr">
        <is>
          <t>パターンC</t>
        </is>
      </c>
    </row>
    <row r="34" ht="24" customHeight="1">
      <c r="B34" s="23" t="inlineStr">
        <is>
          <t>年間売上合計</t>
        </is>
      </c>
      <c r="C34" s="24">
        <f>'パターンA_EC特化'!P9</f>
        <v/>
      </c>
      <c r="D34" s="24">
        <f>'パターンB_大型実店舗'!P9</f>
        <v/>
      </c>
      <c r="E34" s="24">
        <f>'パターンC_ハイブリッド'!P9</f>
        <v/>
      </c>
    </row>
    <row r="35" ht="24" customHeight="1">
      <c r="B35" s="23" t="inlineStr">
        <is>
          <t>年間粗利</t>
        </is>
      </c>
      <c r="C35" s="24">
        <f>'パターンA_EC特化'!P16</f>
        <v/>
      </c>
      <c r="D35" s="24">
        <f>'パターンB_大型実店舗'!P16</f>
        <v/>
      </c>
      <c r="E35" s="24">
        <f>'パターンC_ハイブリッド'!P16</f>
        <v/>
      </c>
    </row>
    <row r="36" ht="24" customHeight="1">
      <c r="B36" s="23" t="inlineStr">
        <is>
          <t>年間販管費合計</t>
        </is>
      </c>
      <c r="C36" s="24">
        <f>'パターンA_EC特化'!P26</f>
        <v/>
      </c>
      <c r="D36" s="24">
        <f>'パターンB_大型実店舗'!P26</f>
        <v/>
      </c>
      <c r="E36" s="24">
        <f>'パターンC_ハイブリッド'!P26</f>
        <v/>
      </c>
    </row>
    <row r="37" ht="24" customHeight="1">
      <c r="B37" s="23" t="inlineStr">
        <is>
          <t>年間営業利益</t>
        </is>
      </c>
      <c r="C37" s="25">
        <f>'パターンA_EC特化'!P28</f>
        <v/>
      </c>
      <c r="D37" s="25">
        <f>'パターンB_大型実店舗'!P28</f>
        <v/>
      </c>
      <c r="E37" s="25">
        <f>'パターンC_ハイブリッド'!P28</f>
        <v/>
      </c>
    </row>
    <row r="39" ht="28" customHeight="1">
      <c r="B39" s="18" t="inlineStr">
        <is>
          <t>★ 収益性指標（年間）</t>
        </is>
      </c>
    </row>
    <row r="40" ht="28" customHeight="1">
      <c r="B40" s="19" t="inlineStr">
        <is>
          <t>指標</t>
        </is>
      </c>
      <c r="C40" s="20" t="inlineStr">
        <is>
          <t>パターンA</t>
        </is>
      </c>
      <c r="D40" s="21" t="inlineStr">
        <is>
          <t>パターンB</t>
        </is>
      </c>
      <c r="E40" s="22" t="inlineStr">
        <is>
          <t>パターンC</t>
        </is>
      </c>
    </row>
    <row r="41" ht="24" customHeight="1">
      <c r="B41" s="23" t="inlineStr">
        <is>
          <t>粗利率（%）</t>
        </is>
      </c>
      <c r="C41" s="26">
        <f>IFERROR('パターンA_EC特化'!P16/'パターンA_EC特化'!P9*100,0)</f>
        <v/>
      </c>
      <c r="D41" s="26">
        <f>IFERROR('パターンB_大型実店舗'!P16/'パターンB_大型実店舗'!P9*100,0)</f>
        <v/>
      </c>
      <c r="E41" s="26">
        <f>IFERROR('パターンC_ハイブリッド'!P16/'パターンC_ハイブリッド'!P9*100,0)</f>
        <v/>
      </c>
    </row>
    <row r="42" ht="24" customHeight="1">
      <c r="B42" s="23" t="inlineStr">
        <is>
          <t>営業利益率（%）</t>
        </is>
      </c>
      <c r="C42" s="26">
        <f>IFERROR('パターンA_EC特化'!P28/'パターンA_EC特化'!P9*100,0)</f>
        <v/>
      </c>
      <c r="D42" s="26">
        <f>IFERROR('パターンB_大型実店舗'!P28/'パターンB_大型実店舗'!P9*100,0)</f>
        <v/>
      </c>
      <c r="E42" s="26">
        <f>IFERROR('パターンC_ハイブリッド'!P28/'パターンC_ハイブリッド'!P9*100,0)</f>
        <v/>
      </c>
    </row>
  </sheetData>
  <mergeCells count="7">
    <mergeCell ref="B18:E18"/>
    <mergeCell ref="B6:E6"/>
    <mergeCell ref="B39:E39"/>
    <mergeCell ref="B11:E11"/>
    <mergeCell ref="B3:E3"/>
    <mergeCell ref="B2:E2"/>
    <mergeCell ref="B32:E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42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8" customHeight="1"/>
    <row r="2" ht="36" customHeight="1">
      <c r="B2" s="27" t="inlineStr">
        <is>
          <t>月次PLシミュレーション　EC特化（無店舗）</t>
        </is>
      </c>
    </row>
    <row r="3" ht="20" customHeight="1">
      <c r="B3" s="2" t="inlineStr">
        <is>
          <t>期間：2026年7月〜2027年7月（13ヶ月）　　単位：円</t>
        </is>
      </c>
    </row>
    <row r="4" ht="8" customHeight="1"/>
    <row r="5" ht="28" customHeight="1">
      <c r="B5" s="20" t="inlineStr">
        <is>
          <t>項　目</t>
        </is>
      </c>
      <c r="C5" s="28" t="inlineStr">
        <is>
          <t>2026年7月</t>
        </is>
      </c>
      <c r="D5" s="28" t="inlineStr">
        <is>
          <t>2026年8月</t>
        </is>
      </c>
      <c r="E5" s="28" t="inlineStr">
        <is>
          <t>2026年9月</t>
        </is>
      </c>
      <c r="F5" s="28" t="inlineStr">
        <is>
          <t>2026年10月</t>
        </is>
      </c>
      <c r="G5" s="28" t="inlineStr">
        <is>
          <t>2026年11月</t>
        </is>
      </c>
      <c r="H5" s="28" t="inlineStr">
        <is>
          <t>2026年12月</t>
        </is>
      </c>
      <c r="I5" s="28" t="inlineStr">
        <is>
          <t>2027年1月</t>
        </is>
      </c>
      <c r="J5" s="28" t="inlineStr">
        <is>
          <t>2027年2月</t>
        </is>
      </c>
      <c r="K5" s="28" t="inlineStr">
        <is>
          <t>2027年3月</t>
        </is>
      </c>
      <c r="L5" s="28" t="inlineStr">
        <is>
          <t>2027年4月</t>
        </is>
      </c>
      <c r="M5" s="28" t="inlineStr">
        <is>
          <t>2027年5月</t>
        </is>
      </c>
      <c r="N5" s="28" t="inlineStr">
        <is>
          <t>2027年6月</t>
        </is>
      </c>
      <c r="O5" s="28" t="inlineStr">
        <is>
          <t>2027年7月</t>
        </is>
      </c>
      <c r="P5" s="20" t="inlineStr">
        <is>
          <t>年間合計</t>
        </is>
      </c>
    </row>
    <row r="6" ht="22" customHeight="1">
      <c r="B6" s="29" t="inlineStr">
        <is>
          <t>▌ 売上高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9" t="n"/>
    </row>
    <row r="7" ht="22" customHeight="1">
      <c r="B7" s="30" t="inlineStr">
        <is>
          <t xml:space="preserve">  新品売上</t>
        </is>
      </c>
      <c r="C7" s="31" t="n">
        <v>2100000</v>
      </c>
      <c r="D7" s="31" t="n">
        <v>2100000</v>
      </c>
      <c r="E7" s="31" t="n">
        <v>2100000</v>
      </c>
      <c r="F7" s="31" t="n">
        <v>2100000</v>
      </c>
      <c r="G7" s="31" t="n">
        <v>2100000</v>
      </c>
      <c r="H7" s="31" t="n">
        <v>2100000</v>
      </c>
      <c r="I7" s="31" t="n">
        <v>2100000</v>
      </c>
      <c r="J7" s="31" t="n">
        <v>2100000</v>
      </c>
      <c r="K7" s="31" t="n">
        <v>2100000</v>
      </c>
      <c r="L7" s="31" t="n">
        <v>2100000</v>
      </c>
      <c r="M7" s="31" t="n">
        <v>2100000</v>
      </c>
      <c r="N7" s="31" t="n">
        <v>2100000</v>
      </c>
      <c r="O7" s="31" t="n">
        <v>2100000</v>
      </c>
      <c r="P7" s="32">
        <f>SUM(C7:O7)</f>
        <v/>
      </c>
    </row>
    <row r="8" ht="22" customHeight="1">
      <c r="B8" s="30" t="inlineStr">
        <is>
          <t xml:space="preserve">  中古売上</t>
        </is>
      </c>
      <c r="C8" s="31" t="n">
        <v>900000</v>
      </c>
      <c r="D8" s="31" t="n">
        <v>900000</v>
      </c>
      <c r="E8" s="31" t="n">
        <v>900000</v>
      </c>
      <c r="F8" s="31" t="n">
        <v>900000</v>
      </c>
      <c r="G8" s="31" t="n">
        <v>900000</v>
      </c>
      <c r="H8" s="31" t="n">
        <v>900000</v>
      </c>
      <c r="I8" s="31" t="n">
        <v>900000</v>
      </c>
      <c r="J8" s="31" t="n">
        <v>900000</v>
      </c>
      <c r="K8" s="31" t="n">
        <v>900000</v>
      </c>
      <c r="L8" s="31" t="n">
        <v>900000</v>
      </c>
      <c r="M8" s="31" t="n">
        <v>900000</v>
      </c>
      <c r="N8" s="31" t="n">
        <v>900000</v>
      </c>
      <c r="O8" s="31" t="n">
        <v>900000</v>
      </c>
      <c r="P8" s="32">
        <f>SUM(C8:O8)</f>
        <v/>
      </c>
    </row>
    <row r="9" ht="22" customHeight="1">
      <c r="B9" s="33" t="inlineStr">
        <is>
          <t xml:space="preserve">  売上合計</t>
        </is>
      </c>
      <c r="C9" s="34">
        <f>C7+C8</f>
        <v/>
      </c>
      <c r="D9" s="34">
        <f>D7+D8</f>
        <v/>
      </c>
      <c r="E9" s="34">
        <f>E7+E8</f>
        <v/>
      </c>
      <c r="F9" s="34">
        <f>F7+F8</f>
        <v/>
      </c>
      <c r="G9" s="34">
        <f>G7+G8</f>
        <v/>
      </c>
      <c r="H9" s="34">
        <f>H7+H8</f>
        <v/>
      </c>
      <c r="I9" s="34">
        <f>I7+I8</f>
        <v/>
      </c>
      <c r="J9" s="34">
        <f>J7+J8</f>
        <v/>
      </c>
      <c r="K9" s="34">
        <f>K7+K8</f>
        <v/>
      </c>
      <c r="L9" s="34">
        <f>L7+L8</f>
        <v/>
      </c>
      <c r="M9" s="34">
        <f>M7+M8</f>
        <v/>
      </c>
      <c r="N9" s="34">
        <f>N7+N8</f>
        <v/>
      </c>
      <c r="O9" s="34">
        <f>O7+O8</f>
        <v/>
      </c>
      <c r="P9" s="34">
        <f>SUM(C9:O9)</f>
        <v/>
      </c>
    </row>
    <row r="10" ht="8" customHeight="1"/>
    <row r="11" ht="22" customHeight="1">
      <c r="B11" s="29" t="inlineStr">
        <is>
          <t>▌ 売上原価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9" t="n"/>
    </row>
    <row r="12" ht="22" customHeight="1">
      <c r="B12" s="30" t="inlineStr">
        <is>
          <t xml:space="preserve">  新品原価</t>
        </is>
      </c>
      <c r="C12" s="35">
        <f>ROUND(C7*0.7,0)</f>
        <v/>
      </c>
      <c r="D12" s="35">
        <f>ROUND(D7*0.7,0)</f>
        <v/>
      </c>
      <c r="E12" s="35">
        <f>ROUND(E7*0.7,0)</f>
        <v/>
      </c>
      <c r="F12" s="35">
        <f>ROUND(F7*0.7,0)</f>
        <v/>
      </c>
      <c r="G12" s="35">
        <f>ROUND(G7*0.7,0)</f>
        <v/>
      </c>
      <c r="H12" s="35">
        <f>ROUND(H7*0.7,0)</f>
        <v/>
      </c>
      <c r="I12" s="35">
        <f>ROUND(I7*0.7,0)</f>
        <v/>
      </c>
      <c r="J12" s="35">
        <f>ROUND(J7*0.7,0)</f>
        <v/>
      </c>
      <c r="K12" s="35">
        <f>ROUND(K7*0.7,0)</f>
        <v/>
      </c>
      <c r="L12" s="35">
        <f>ROUND(L7*0.7,0)</f>
        <v/>
      </c>
      <c r="M12" s="35">
        <f>ROUND(M7*0.7,0)</f>
        <v/>
      </c>
      <c r="N12" s="35">
        <f>ROUND(N7*0.7,0)</f>
        <v/>
      </c>
      <c r="O12" s="35">
        <f>ROUND(O7*0.7,0)</f>
        <v/>
      </c>
      <c r="P12" s="32">
        <f>SUM(C12:O12)</f>
        <v/>
      </c>
    </row>
    <row r="13" ht="22" customHeight="1">
      <c r="B13" s="30" t="inlineStr">
        <is>
          <t xml:space="preserve">  中古原価</t>
        </is>
      </c>
      <c r="C13" s="35">
        <f>ROUND(C8*0.5,0)</f>
        <v/>
      </c>
      <c r="D13" s="35">
        <f>ROUND(D8*0.5,0)</f>
        <v/>
      </c>
      <c r="E13" s="35">
        <f>ROUND(E8*0.5,0)</f>
        <v/>
      </c>
      <c r="F13" s="35">
        <f>ROUND(F8*0.5,0)</f>
        <v/>
      </c>
      <c r="G13" s="35">
        <f>ROUND(G8*0.5,0)</f>
        <v/>
      </c>
      <c r="H13" s="35">
        <f>ROUND(H8*0.5,0)</f>
        <v/>
      </c>
      <c r="I13" s="35">
        <f>ROUND(I8*0.5,0)</f>
        <v/>
      </c>
      <c r="J13" s="35">
        <f>ROUND(J8*0.5,0)</f>
        <v/>
      </c>
      <c r="K13" s="35">
        <f>ROUND(K8*0.5,0)</f>
        <v/>
      </c>
      <c r="L13" s="35">
        <f>ROUND(L8*0.5,0)</f>
        <v/>
      </c>
      <c r="M13" s="35">
        <f>ROUND(M8*0.5,0)</f>
        <v/>
      </c>
      <c r="N13" s="35">
        <f>ROUND(N8*0.5,0)</f>
        <v/>
      </c>
      <c r="O13" s="35">
        <f>ROUND(O8*0.5,0)</f>
        <v/>
      </c>
      <c r="P13" s="32">
        <f>SUM(C13:O13)</f>
        <v/>
      </c>
    </row>
    <row r="14" ht="22" customHeight="1">
      <c r="B14" s="33" t="inlineStr">
        <is>
          <t xml:space="preserve">  原価合計</t>
        </is>
      </c>
      <c r="C14" s="34">
        <f>C12+C13</f>
        <v/>
      </c>
      <c r="D14" s="34">
        <f>D12+D13</f>
        <v/>
      </c>
      <c r="E14" s="34">
        <f>E12+E13</f>
        <v/>
      </c>
      <c r="F14" s="34">
        <f>F12+F13</f>
        <v/>
      </c>
      <c r="G14" s="34">
        <f>G12+G13</f>
        <v/>
      </c>
      <c r="H14" s="34">
        <f>H12+H13</f>
        <v/>
      </c>
      <c r="I14" s="34">
        <f>I12+I13</f>
        <v/>
      </c>
      <c r="J14" s="34">
        <f>J12+J13</f>
        <v/>
      </c>
      <c r="K14" s="34">
        <f>K12+K13</f>
        <v/>
      </c>
      <c r="L14" s="34">
        <f>L12+L13</f>
        <v/>
      </c>
      <c r="M14" s="34">
        <f>M12+M13</f>
        <v/>
      </c>
      <c r="N14" s="34">
        <f>N12+N13</f>
        <v/>
      </c>
      <c r="O14" s="34">
        <f>O12+O13</f>
        <v/>
      </c>
      <c r="P14" s="34">
        <f>SUM(C14:O14)</f>
        <v/>
      </c>
    </row>
    <row r="15" ht="8" customHeight="1"/>
    <row r="16" ht="22" customHeight="1">
      <c r="B16" s="36" t="inlineStr">
        <is>
          <t>▌ 売上総利益（粗利）</t>
        </is>
      </c>
      <c r="C16" s="37">
        <f>C9-C14</f>
        <v/>
      </c>
      <c r="D16" s="37">
        <f>D9-D14</f>
        <v/>
      </c>
      <c r="E16" s="37">
        <f>E9-E14</f>
        <v/>
      </c>
      <c r="F16" s="37">
        <f>F9-F14</f>
        <v/>
      </c>
      <c r="G16" s="37">
        <f>G9-G14</f>
        <v/>
      </c>
      <c r="H16" s="37">
        <f>H9-H14</f>
        <v/>
      </c>
      <c r="I16" s="37">
        <f>I9-I14</f>
        <v/>
      </c>
      <c r="J16" s="37">
        <f>J9-J14</f>
        <v/>
      </c>
      <c r="K16" s="37">
        <f>K9-K14</f>
        <v/>
      </c>
      <c r="L16" s="37">
        <f>L9-L14</f>
        <v/>
      </c>
      <c r="M16" s="37">
        <f>M9-M14</f>
        <v/>
      </c>
      <c r="N16" s="37">
        <f>N9-N14</f>
        <v/>
      </c>
      <c r="O16" s="37">
        <f>O9-O14</f>
        <v/>
      </c>
      <c r="P16" s="34">
        <f>SUM(C16:O16)</f>
        <v/>
      </c>
    </row>
    <row r="17" ht="8" customHeight="1"/>
    <row r="18" ht="22" customHeight="1">
      <c r="B18" s="29" t="inlineStr">
        <is>
          <t>▌ 販売管理費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9" t="n"/>
    </row>
    <row r="19" ht="22" customHeight="1">
      <c r="B19" s="30" t="inlineStr">
        <is>
          <t xml:space="preserve">  地代家賃</t>
        </is>
      </c>
      <c r="C19" s="31" t="n">
        <v>0</v>
      </c>
      <c r="D19" s="31" t="n">
        <v>0</v>
      </c>
      <c r="E19" s="31" t="n">
        <v>0</v>
      </c>
      <c r="F19" s="31" t="n">
        <v>0</v>
      </c>
      <c r="G19" s="31" t="n">
        <v>0</v>
      </c>
      <c r="H19" s="31" t="n">
        <v>0</v>
      </c>
      <c r="I19" s="31" t="n">
        <v>0</v>
      </c>
      <c r="J19" s="31" t="n">
        <v>0</v>
      </c>
      <c r="K19" s="31" t="n">
        <v>0</v>
      </c>
      <c r="L19" s="31" t="n">
        <v>0</v>
      </c>
      <c r="M19" s="31" t="n">
        <v>0</v>
      </c>
      <c r="N19" s="31" t="n">
        <v>0</v>
      </c>
      <c r="O19" s="31" t="n">
        <v>0</v>
      </c>
      <c r="P19" s="32">
        <f>SUM(C19:O19)</f>
        <v/>
      </c>
    </row>
    <row r="20" ht="22" customHeight="1">
      <c r="B20" s="30" t="inlineStr">
        <is>
          <t xml:space="preserve">  人件費（正社員）</t>
        </is>
      </c>
      <c r="C20" s="31" t="n">
        <v>350000</v>
      </c>
      <c r="D20" s="31" t="n">
        <v>350000</v>
      </c>
      <c r="E20" s="31" t="n">
        <v>350000</v>
      </c>
      <c r="F20" s="31" t="n">
        <v>350000</v>
      </c>
      <c r="G20" s="31" t="n">
        <v>350000</v>
      </c>
      <c r="H20" s="31" t="n">
        <v>350000</v>
      </c>
      <c r="I20" s="31" t="n">
        <v>350000</v>
      </c>
      <c r="J20" s="31" t="n">
        <v>350000</v>
      </c>
      <c r="K20" s="31" t="n">
        <v>350000</v>
      </c>
      <c r="L20" s="31" t="n">
        <v>350000</v>
      </c>
      <c r="M20" s="31" t="n">
        <v>350000</v>
      </c>
      <c r="N20" s="31" t="n">
        <v>350000</v>
      </c>
      <c r="O20" s="31" t="n">
        <v>350000</v>
      </c>
      <c r="P20" s="32">
        <f>SUM(C20:O20)</f>
        <v/>
      </c>
    </row>
    <row r="21" ht="22" customHeight="1">
      <c r="B21" s="30" t="inlineStr">
        <is>
          <t xml:space="preserve">  人件費（アルバイト）</t>
        </is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0</v>
      </c>
      <c r="H21" s="31" t="n">
        <v>0</v>
      </c>
      <c r="I21" s="31" t="n">
        <v>0</v>
      </c>
      <c r="J21" s="31" t="n">
        <v>0</v>
      </c>
      <c r="K21" s="31" t="n">
        <v>0</v>
      </c>
      <c r="L21" s="31" t="n">
        <v>0</v>
      </c>
      <c r="M21" s="31" t="n">
        <v>0</v>
      </c>
      <c r="N21" s="31" t="n">
        <v>0</v>
      </c>
      <c r="O21" s="31" t="n">
        <v>0</v>
      </c>
      <c r="P21" s="32">
        <f>SUM(C21:O21)</f>
        <v/>
      </c>
    </row>
    <row r="22" ht="22" customHeight="1">
      <c r="B22" s="30" t="inlineStr">
        <is>
          <t xml:space="preserve">  広告宣伝費・イベント費</t>
        </is>
      </c>
      <c r="C22" s="31" t="n">
        <v>50000</v>
      </c>
      <c r="D22" s="31" t="n">
        <v>50000</v>
      </c>
      <c r="E22" s="31" t="n">
        <v>50000</v>
      </c>
      <c r="F22" s="31" t="n">
        <v>50000</v>
      </c>
      <c r="G22" s="31" t="n">
        <v>50000</v>
      </c>
      <c r="H22" s="31" t="n">
        <v>50000</v>
      </c>
      <c r="I22" s="31" t="n">
        <v>50000</v>
      </c>
      <c r="J22" s="31" t="n">
        <v>50000</v>
      </c>
      <c r="K22" s="31" t="n">
        <v>50000</v>
      </c>
      <c r="L22" s="31" t="n">
        <v>50000</v>
      </c>
      <c r="M22" s="31" t="n">
        <v>50000</v>
      </c>
      <c r="N22" s="31" t="n">
        <v>50000</v>
      </c>
      <c r="O22" s="31" t="n">
        <v>50000</v>
      </c>
      <c r="P22" s="32">
        <f>SUM(C22:O22)</f>
        <v/>
      </c>
    </row>
    <row r="23" ht="22" customHeight="1">
      <c r="B23" s="30" t="inlineStr">
        <is>
          <t xml:space="preserve">  EC決済手数料</t>
        </is>
      </c>
      <c r="C23" s="35">
        <f>ROUND(C9*0.035,0)</f>
        <v/>
      </c>
      <c r="D23" s="35">
        <f>ROUND(D9*0.035,0)</f>
        <v/>
      </c>
      <c r="E23" s="35">
        <f>ROUND(E9*0.035,0)</f>
        <v/>
      </c>
      <c r="F23" s="35">
        <f>ROUND(F9*0.035,0)</f>
        <v/>
      </c>
      <c r="G23" s="35">
        <f>ROUND(G9*0.035,0)</f>
        <v/>
      </c>
      <c r="H23" s="35">
        <f>ROUND(H9*0.035,0)</f>
        <v/>
      </c>
      <c r="I23" s="35">
        <f>ROUND(I9*0.035,0)</f>
        <v/>
      </c>
      <c r="J23" s="35">
        <f>ROUND(J9*0.035,0)</f>
        <v/>
      </c>
      <c r="K23" s="35">
        <f>ROUND(K9*0.035,0)</f>
        <v/>
      </c>
      <c r="L23" s="35">
        <f>ROUND(L9*0.035,0)</f>
        <v/>
      </c>
      <c r="M23" s="35">
        <f>ROUND(M9*0.035,0)</f>
        <v/>
      </c>
      <c r="N23" s="35">
        <f>ROUND(N9*0.035,0)</f>
        <v/>
      </c>
      <c r="O23" s="35">
        <f>ROUND(O9*0.035,0)</f>
        <v/>
      </c>
      <c r="P23" s="32">
        <f>SUM(C23:O23)</f>
        <v/>
      </c>
    </row>
    <row r="24" ht="22" customHeight="1">
      <c r="B24" s="30" t="inlineStr">
        <is>
          <t xml:space="preserve">  荷造運賃</t>
        </is>
      </c>
      <c r="C24" s="31" t="n">
        <v>80000</v>
      </c>
      <c r="D24" s="31" t="n">
        <v>80000</v>
      </c>
      <c r="E24" s="31" t="n">
        <v>80000</v>
      </c>
      <c r="F24" s="31" t="n">
        <v>80000</v>
      </c>
      <c r="G24" s="31" t="n">
        <v>80000</v>
      </c>
      <c r="H24" s="31" t="n">
        <v>80000</v>
      </c>
      <c r="I24" s="31" t="n">
        <v>80000</v>
      </c>
      <c r="J24" s="31" t="n">
        <v>80000</v>
      </c>
      <c r="K24" s="31" t="n">
        <v>80000</v>
      </c>
      <c r="L24" s="31" t="n">
        <v>80000</v>
      </c>
      <c r="M24" s="31" t="n">
        <v>80000</v>
      </c>
      <c r="N24" s="31" t="n">
        <v>80000</v>
      </c>
      <c r="O24" s="31" t="n">
        <v>80000</v>
      </c>
      <c r="P24" s="32">
        <f>SUM(C24:O24)</f>
        <v/>
      </c>
    </row>
    <row r="25" ht="22" customHeight="1">
      <c r="B25" s="30" t="inlineStr">
        <is>
          <t xml:space="preserve">  水道光熱費・システム・その他</t>
        </is>
      </c>
      <c r="C25" s="31" t="n">
        <v>50000</v>
      </c>
      <c r="D25" s="31" t="n">
        <v>50000</v>
      </c>
      <c r="E25" s="31" t="n">
        <v>50000</v>
      </c>
      <c r="F25" s="31" t="n">
        <v>50000</v>
      </c>
      <c r="G25" s="31" t="n">
        <v>50000</v>
      </c>
      <c r="H25" s="31" t="n">
        <v>50000</v>
      </c>
      <c r="I25" s="31" t="n">
        <v>50000</v>
      </c>
      <c r="J25" s="31" t="n">
        <v>50000</v>
      </c>
      <c r="K25" s="31" t="n">
        <v>50000</v>
      </c>
      <c r="L25" s="31" t="n">
        <v>50000</v>
      </c>
      <c r="M25" s="31" t="n">
        <v>50000</v>
      </c>
      <c r="N25" s="31" t="n">
        <v>50000</v>
      </c>
      <c r="O25" s="31" t="n">
        <v>50000</v>
      </c>
      <c r="P25" s="32">
        <f>SUM(C25:O25)</f>
        <v/>
      </c>
    </row>
    <row r="26" ht="22" customHeight="1">
      <c r="B26" s="33" t="inlineStr">
        <is>
          <t xml:space="preserve">  販管費合計</t>
        </is>
      </c>
      <c r="C26" s="34">
        <f>C19+C20+C21+C22+C23+C24+C25</f>
        <v/>
      </c>
      <c r="D26" s="34">
        <f>D19+D20+D21+D22+D23+D24+D25</f>
        <v/>
      </c>
      <c r="E26" s="34">
        <f>E19+E20+E21+E22+E23+E24+E25</f>
        <v/>
      </c>
      <c r="F26" s="34">
        <f>F19+F20+F21+F22+F23+F24+F25</f>
        <v/>
      </c>
      <c r="G26" s="34">
        <f>G19+G20+G21+G22+G23+G24+G25</f>
        <v/>
      </c>
      <c r="H26" s="34">
        <f>H19+H20+H21+H22+H23+H24+H25</f>
        <v/>
      </c>
      <c r="I26" s="34">
        <f>I19+I20+I21+I22+I23+I24+I25</f>
        <v/>
      </c>
      <c r="J26" s="34">
        <f>J19+J20+J21+J22+J23+J24+J25</f>
        <v/>
      </c>
      <c r="K26" s="34">
        <f>K19+K20+K21+K22+K23+K24+K25</f>
        <v/>
      </c>
      <c r="L26" s="34">
        <f>L19+L20+L21+L22+L23+L24+L25</f>
        <v/>
      </c>
      <c r="M26" s="34">
        <f>M19+M20+M21+M22+M23+M24+M25</f>
        <v/>
      </c>
      <c r="N26" s="34">
        <f>N19+N20+N21+N22+N23+N24+N25</f>
        <v/>
      </c>
      <c r="O26" s="34">
        <f>O19+O20+O21+O22+O23+O24+O25</f>
        <v/>
      </c>
      <c r="P26" s="34">
        <f>SUM(C26:O26)</f>
        <v/>
      </c>
    </row>
    <row r="27" ht="8" customHeight="1"/>
    <row r="28" ht="22" customHeight="1">
      <c r="B28" s="38" t="inlineStr">
        <is>
          <t>▌ 営業利益</t>
        </is>
      </c>
      <c r="C28" s="39">
        <f>C16-C26</f>
        <v/>
      </c>
      <c r="D28" s="39">
        <f>D16-D26</f>
        <v/>
      </c>
      <c r="E28" s="39">
        <f>E16-E26</f>
        <v/>
      </c>
      <c r="F28" s="39">
        <f>F16-F26</f>
        <v/>
      </c>
      <c r="G28" s="39">
        <f>G16-G26</f>
        <v/>
      </c>
      <c r="H28" s="39">
        <f>H16-H26</f>
        <v/>
      </c>
      <c r="I28" s="39">
        <f>I16-I26</f>
        <v/>
      </c>
      <c r="J28" s="39">
        <f>J16-J26</f>
        <v/>
      </c>
      <c r="K28" s="39">
        <f>K16-K26</f>
        <v/>
      </c>
      <c r="L28" s="39">
        <f>L16-L26</f>
        <v/>
      </c>
      <c r="M28" s="39">
        <f>M16-M26</f>
        <v/>
      </c>
      <c r="N28" s="39">
        <f>N16-N26</f>
        <v/>
      </c>
      <c r="O28" s="39">
        <f>O16-O26</f>
        <v/>
      </c>
      <c r="P28" s="34">
        <f>SUM(C28:O28)</f>
        <v/>
      </c>
    </row>
    <row r="31">
      <c r="B31" s="40" t="inlineStr">
        <is>
          <t>【主要仮定値】</t>
        </is>
      </c>
    </row>
    <row r="32" ht="18" customHeight="1">
      <c r="B32" s="41" t="inlineStr">
        <is>
          <t xml:space="preserve">  新品売上（月次）</t>
        </is>
      </c>
      <c r="C32" s="42" t="inlineStr">
        <is>
          <t>2,100,000 円</t>
        </is>
      </c>
    </row>
    <row r="33" ht="18" customHeight="1">
      <c r="B33" s="41" t="inlineStr">
        <is>
          <t xml:space="preserve">  中古売上（月次）</t>
        </is>
      </c>
      <c r="C33" s="42" t="inlineStr">
        <is>
          <t>900,000 円</t>
        </is>
      </c>
    </row>
    <row r="34" ht="18" customHeight="1">
      <c r="B34" s="41" t="inlineStr">
        <is>
          <t xml:space="preserve">  新品原価率</t>
        </is>
      </c>
      <c r="C34" s="42" t="inlineStr">
        <is>
          <t>70%</t>
        </is>
      </c>
    </row>
    <row r="35" ht="18" customHeight="1">
      <c r="B35" s="41" t="inlineStr">
        <is>
          <t xml:space="preserve">  中古原価率</t>
        </is>
      </c>
      <c r="C35" s="42" t="inlineStr">
        <is>
          <t>50%</t>
        </is>
      </c>
    </row>
    <row r="36" ht="18" customHeight="1">
      <c r="B36" s="41" t="inlineStr">
        <is>
          <t xml:space="preserve">  地代家賃</t>
        </is>
      </c>
      <c r="C36" s="42" t="inlineStr">
        <is>
          <t>0 円</t>
        </is>
      </c>
    </row>
    <row r="37" ht="18" customHeight="1">
      <c r="B37" s="41" t="inlineStr">
        <is>
          <t xml:space="preserve">  人件費（正社員）</t>
        </is>
      </c>
      <c r="C37" s="42" t="inlineStr">
        <is>
          <t>350,000 円</t>
        </is>
      </c>
    </row>
    <row r="38" ht="18" customHeight="1">
      <c r="B38" s="41" t="inlineStr">
        <is>
          <t xml:space="preserve">  人件費（アルバイト）</t>
        </is>
      </c>
      <c r="C38" s="42" t="inlineStr">
        <is>
          <t>0 円</t>
        </is>
      </c>
    </row>
    <row r="39" ht="18" customHeight="1">
      <c r="B39" s="41" t="inlineStr">
        <is>
          <t xml:space="preserve">  広告・イベント費</t>
        </is>
      </c>
      <c r="C39" s="42" t="inlineStr">
        <is>
          <t>50,000 円</t>
        </is>
      </c>
    </row>
    <row r="40" ht="18" customHeight="1">
      <c r="B40" s="41" t="inlineStr">
        <is>
          <t xml:space="preserve">  EC手数料率</t>
        </is>
      </c>
      <c r="C40" s="42" t="inlineStr">
        <is>
          <t>3.5%</t>
        </is>
      </c>
    </row>
    <row r="41" ht="18" customHeight="1">
      <c r="B41" s="41" t="inlineStr">
        <is>
          <t xml:space="preserve">  荷造運賃</t>
        </is>
      </c>
      <c r="C41" s="42" t="inlineStr">
        <is>
          <t>80,000 円</t>
        </is>
      </c>
    </row>
    <row r="42" ht="18" customHeight="1">
      <c r="B42" s="41" t="inlineStr">
        <is>
          <t xml:space="preserve">  水道光熱費等</t>
        </is>
      </c>
      <c r="C42" s="42" t="inlineStr">
        <is>
          <t>50,000 円</t>
        </is>
      </c>
    </row>
  </sheetData>
  <mergeCells count="5">
    <mergeCell ref="B11:P11"/>
    <mergeCell ref="B6:P6"/>
    <mergeCell ref="B2:P2"/>
    <mergeCell ref="B3:P3"/>
    <mergeCell ref="B18:P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P42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8" customHeight="1"/>
    <row r="2" ht="36" customHeight="1">
      <c r="B2" s="43" t="inlineStr">
        <is>
          <t>月次PLシミュレーション　大型実店舗</t>
        </is>
      </c>
    </row>
    <row r="3" ht="20" customHeight="1">
      <c r="B3" s="2" t="inlineStr">
        <is>
          <t>期間：2026年7月〜2027年7月（13ヶ月）　　単位：円</t>
        </is>
      </c>
    </row>
    <row r="4" ht="8" customHeight="1"/>
    <row r="5" ht="28" customHeight="1">
      <c r="B5" s="21" t="inlineStr">
        <is>
          <t>項　目</t>
        </is>
      </c>
      <c r="C5" s="44" t="inlineStr">
        <is>
          <t>2026年7月</t>
        </is>
      </c>
      <c r="D5" s="44" t="inlineStr">
        <is>
          <t>2026年8月</t>
        </is>
      </c>
      <c r="E5" s="44" t="inlineStr">
        <is>
          <t>2026年9月</t>
        </is>
      </c>
      <c r="F5" s="44" t="inlineStr">
        <is>
          <t>2026年10月</t>
        </is>
      </c>
      <c r="G5" s="44" t="inlineStr">
        <is>
          <t>2026年11月</t>
        </is>
      </c>
      <c r="H5" s="44" t="inlineStr">
        <is>
          <t>2026年12月</t>
        </is>
      </c>
      <c r="I5" s="44" t="inlineStr">
        <is>
          <t>2027年1月</t>
        </is>
      </c>
      <c r="J5" s="44" t="inlineStr">
        <is>
          <t>2027年2月</t>
        </is>
      </c>
      <c r="K5" s="44" t="inlineStr">
        <is>
          <t>2027年3月</t>
        </is>
      </c>
      <c r="L5" s="44" t="inlineStr">
        <is>
          <t>2027年4月</t>
        </is>
      </c>
      <c r="M5" s="44" t="inlineStr">
        <is>
          <t>2027年5月</t>
        </is>
      </c>
      <c r="N5" s="44" t="inlineStr">
        <is>
          <t>2027年6月</t>
        </is>
      </c>
      <c r="O5" s="44" t="inlineStr">
        <is>
          <t>2027年7月</t>
        </is>
      </c>
      <c r="P5" s="21" t="inlineStr">
        <is>
          <t>年間合計</t>
        </is>
      </c>
    </row>
    <row r="6" ht="22" customHeight="1">
      <c r="B6" s="45" t="inlineStr">
        <is>
          <t>▌ 売上高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9" t="n"/>
    </row>
    <row r="7" ht="22" customHeight="1">
      <c r="B7" s="30" t="inlineStr">
        <is>
          <t xml:space="preserve">  新品売上</t>
        </is>
      </c>
      <c r="C7" s="31" t="n">
        <v>5600000</v>
      </c>
      <c r="D7" s="31" t="n">
        <v>5600000</v>
      </c>
      <c r="E7" s="31" t="n">
        <v>5600000</v>
      </c>
      <c r="F7" s="31" t="n">
        <v>5600000</v>
      </c>
      <c r="G7" s="31" t="n">
        <v>5600000</v>
      </c>
      <c r="H7" s="31" t="n">
        <v>5600000</v>
      </c>
      <c r="I7" s="31" t="n">
        <v>5600000</v>
      </c>
      <c r="J7" s="31" t="n">
        <v>5600000</v>
      </c>
      <c r="K7" s="31" t="n">
        <v>5600000</v>
      </c>
      <c r="L7" s="31" t="n">
        <v>5600000</v>
      </c>
      <c r="M7" s="31" t="n">
        <v>5600000</v>
      </c>
      <c r="N7" s="31" t="n">
        <v>5600000</v>
      </c>
      <c r="O7" s="31" t="n">
        <v>5600000</v>
      </c>
      <c r="P7" s="32">
        <f>SUM(C7:O7)</f>
        <v/>
      </c>
    </row>
    <row r="8" ht="22" customHeight="1">
      <c r="B8" s="30" t="inlineStr">
        <is>
          <t xml:space="preserve">  中古売上</t>
        </is>
      </c>
      <c r="C8" s="31" t="n">
        <v>2400000</v>
      </c>
      <c r="D8" s="31" t="n">
        <v>2400000</v>
      </c>
      <c r="E8" s="31" t="n">
        <v>2400000</v>
      </c>
      <c r="F8" s="31" t="n">
        <v>2400000</v>
      </c>
      <c r="G8" s="31" t="n">
        <v>2400000</v>
      </c>
      <c r="H8" s="31" t="n">
        <v>2400000</v>
      </c>
      <c r="I8" s="31" t="n">
        <v>2400000</v>
      </c>
      <c r="J8" s="31" t="n">
        <v>2400000</v>
      </c>
      <c r="K8" s="31" t="n">
        <v>2400000</v>
      </c>
      <c r="L8" s="31" t="n">
        <v>2400000</v>
      </c>
      <c r="M8" s="31" t="n">
        <v>2400000</v>
      </c>
      <c r="N8" s="31" t="n">
        <v>2400000</v>
      </c>
      <c r="O8" s="31" t="n">
        <v>2400000</v>
      </c>
      <c r="P8" s="32">
        <f>SUM(C8:O8)</f>
        <v/>
      </c>
    </row>
    <row r="9" ht="22" customHeight="1">
      <c r="B9" s="33" t="inlineStr">
        <is>
          <t xml:space="preserve">  売上合計</t>
        </is>
      </c>
      <c r="C9" s="34">
        <f>C7+C8</f>
        <v/>
      </c>
      <c r="D9" s="34">
        <f>D7+D8</f>
        <v/>
      </c>
      <c r="E9" s="34">
        <f>E7+E8</f>
        <v/>
      </c>
      <c r="F9" s="34">
        <f>F7+F8</f>
        <v/>
      </c>
      <c r="G9" s="34">
        <f>G7+G8</f>
        <v/>
      </c>
      <c r="H9" s="34">
        <f>H7+H8</f>
        <v/>
      </c>
      <c r="I9" s="34">
        <f>I7+I8</f>
        <v/>
      </c>
      <c r="J9" s="34">
        <f>J7+J8</f>
        <v/>
      </c>
      <c r="K9" s="34">
        <f>K7+K8</f>
        <v/>
      </c>
      <c r="L9" s="34">
        <f>L7+L8</f>
        <v/>
      </c>
      <c r="M9" s="34">
        <f>M7+M8</f>
        <v/>
      </c>
      <c r="N9" s="34">
        <f>N7+N8</f>
        <v/>
      </c>
      <c r="O9" s="34">
        <f>O7+O8</f>
        <v/>
      </c>
      <c r="P9" s="34">
        <f>SUM(C9:O9)</f>
        <v/>
      </c>
    </row>
    <row r="10" ht="8" customHeight="1"/>
    <row r="11" ht="22" customHeight="1">
      <c r="B11" s="45" t="inlineStr">
        <is>
          <t>▌ 売上原価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9" t="n"/>
    </row>
    <row r="12" ht="22" customHeight="1">
      <c r="B12" s="30" t="inlineStr">
        <is>
          <t xml:space="preserve">  新品原価</t>
        </is>
      </c>
      <c r="C12" s="35">
        <f>ROUND(C7*0.7,0)</f>
        <v/>
      </c>
      <c r="D12" s="35">
        <f>ROUND(D7*0.7,0)</f>
        <v/>
      </c>
      <c r="E12" s="35">
        <f>ROUND(E7*0.7,0)</f>
        <v/>
      </c>
      <c r="F12" s="35">
        <f>ROUND(F7*0.7,0)</f>
        <v/>
      </c>
      <c r="G12" s="35">
        <f>ROUND(G7*0.7,0)</f>
        <v/>
      </c>
      <c r="H12" s="35">
        <f>ROUND(H7*0.7,0)</f>
        <v/>
      </c>
      <c r="I12" s="35">
        <f>ROUND(I7*0.7,0)</f>
        <v/>
      </c>
      <c r="J12" s="35">
        <f>ROUND(J7*0.7,0)</f>
        <v/>
      </c>
      <c r="K12" s="35">
        <f>ROUND(K7*0.7,0)</f>
        <v/>
      </c>
      <c r="L12" s="35">
        <f>ROUND(L7*0.7,0)</f>
        <v/>
      </c>
      <c r="M12" s="35">
        <f>ROUND(M7*0.7,0)</f>
        <v/>
      </c>
      <c r="N12" s="35">
        <f>ROUND(N7*0.7,0)</f>
        <v/>
      </c>
      <c r="O12" s="35">
        <f>ROUND(O7*0.7,0)</f>
        <v/>
      </c>
      <c r="P12" s="32">
        <f>SUM(C12:O12)</f>
        <v/>
      </c>
    </row>
    <row r="13" ht="22" customHeight="1">
      <c r="B13" s="30" t="inlineStr">
        <is>
          <t xml:space="preserve">  中古原価</t>
        </is>
      </c>
      <c r="C13" s="35">
        <f>ROUND(C8*0.5,0)</f>
        <v/>
      </c>
      <c r="D13" s="35">
        <f>ROUND(D8*0.5,0)</f>
        <v/>
      </c>
      <c r="E13" s="35">
        <f>ROUND(E8*0.5,0)</f>
        <v/>
      </c>
      <c r="F13" s="35">
        <f>ROUND(F8*0.5,0)</f>
        <v/>
      </c>
      <c r="G13" s="35">
        <f>ROUND(G8*0.5,0)</f>
        <v/>
      </c>
      <c r="H13" s="35">
        <f>ROUND(H8*0.5,0)</f>
        <v/>
      </c>
      <c r="I13" s="35">
        <f>ROUND(I8*0.5,0)</f>
        <v/>
      </c>
      <c r="J13" s="35">
        <f>ROUND(J8*0.5,0)</f>
        <v/>
      </c>
      <c r="K13" s="35">
        <f>ROUND(K8*0.5,0)</f>
        <v/>
      </c>
      <c r="L13" s="35">
        <f>ROUND(L8*0.5,0)</f>
        <v/>
      </c>
      <c r="M13" s="35">
        <f>ROUND(M8*0.5,0)</f>
        <v/>
      </c>
      <c r="N13" s="35">
        <f>ROUND(N8*0.5,0)</f>
        <v/>
      </c>
      <c r="O13" s="35">
        <f>ROUND(O8*0.5,0)</f>
        <v/>
      </c>
      <c r="P13" s="32">
        <f>SUM(C13:O13)</f>
        <v/>
      </c>
    </row>
    <row r="14" ht="22" customHeight="1">
      <c r="B14" s="33" t="inlineStr">
        <is>
          <t xml:space="preserve">  原価合計</t>
        </is>
      </c>
      <c r="C14" s="34">
        <f>C12+C13</f>
        <v/>
      </c>
      <c r="D14" s="34">
        <f>D12+D13</f>
        <v/>
      </c>
      <c r="E14" s="34">
        <f>E12+E13</f>
        <v/>
      </c>
      <c r="F14" s="34">
        <f>F12+F13</f>
        <v/>
      </c>
      <c r="G14" s="34">
        <f>G12+G13</f>
        <v/>
      </c>
      <c r="H14" s="34">
        <f>H12+H13</f>
        <v/>
      </c>
      <c r="I14" s="34">
        <f>I12+I13</f>
        <v/>
      </c>
      <c r="J14" s="34">
        <f>J12+J13</f>
        <v/>
      </c>
      <c r="K14" s="34">
        <f>K12+K13</f>
        <v/>
      </c>
      <c r="L14" s="34">
        <f>L12+L13</f>
        <v/>
      </c>
      <c r="M14" s="34">
        <f>M12+M13</f>
        <v/>
      </c>
      <c r="N14" s="34">
        <f>N12+N13</f>
        <v/>
      </c>
      <c r="O14" s="34">
        <f>O12+O13</f>
        <v/>
      </c>
      <c r="P14" s="34">
        <f>SUM(C14:O14)</f>
        <v/>
      </c>
    </row>
    <row r="15" ht="8" customHeight="1"/>
    <row r="16" ht="22" customHeight="1">
      <c r="B16" s="36" t="inlineStr">
        <is>
          <t>▌ 売上総利益（粗利）</t>
        </is>
      </c>
      <c r="C16" s="37">
        <f>C9-C14</f>
        <v/>
      </c>
      <c r="D16" s="37">
        <f>D9-D14</f>
        <v/>
      </c>
      <c r="E16" s="37">
        <f>E9-E14</f>
        <v/>
      </c>
      <c r="F16" s="37">
        <f>F9-F14</f>
        <v/>
      </c>
      <c r="G16" s="37">
        <f>G9-G14</f>
        <v/>
      </c>
      <c r="H16" s="37">
        <f>H9-H14</f>
        <v/>
      </c>
      <c r="I16" s="37">
        <f>I9-I14</f>
        <v/>
      </c>
      <c r="J16" s="37">
        <f>J9-J14</f>
        <v/>
      </c>
      <c r="K16" s="37">
        <f>K9-K14</f>
        <v/>
      </c>
      <c r="L16" s="37">
        <f>L9-L14</f>
        <v/>
      </c>
      <c r="M16" s="37">
        <f>M9-M14</f>
        <v/>
      </c>
      <c r="N16" s="37">
        <f>N9-N14</f>
        <v/>
      </c>
      <c r="O16" s="37">
        <f>O9-O14</f>
        <v/>
      </c>
      <c r="P16" s="34">
        <f>SUM(C16:O16)</f>
        <v/>
      </c>
    </row>
    <row r="17" ht="8" customHeight="1"/>
    <row r="18" ht="22" customHeight="1">
      <c r="B18" s="45" t="inlineStr">
        <is>
          <t>▌ 販売管理費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9" t="n"/>
    </row>
    <row r="19" ht="22" customHeight="1">
      <c r="B19" s="30" t="inlineStr">
        <is>
          <t xml:space="preserve">  地代家賃</t>
        </is>
      </c>
      <c r="C19" s="31" t="n">
        <v>300000</v>
      </c>
      <c r="D19" s="31" t="n">
        <v>300000</v>
      </c>
      <c r="E19" s="31" t="n">
        <v>300000</v>
      </c>
      <c r="F19" s="31" t="n">
        <v>300000</v>
      </c>
      <c r="G19" s="31" t="n">
        <v>300000</v>
      </c>
      <c r="H19" s="31" t="n">
        <v>300000</v>
      </c>
      <c r="I19" s="31" t="n">
        <v>300000</v>
      </c>
      <c r="J19" s="31" t="n">
        <v>300000</v>
      </c>
      <c r="K19" s="31" t="n">
        <v>300000</v>
      </c>
      <c r="L19" s="31" t="n">
        <v>300000</v>
      </c>
      <c r="M19" s="31" t="n">
        <v>300000</v>
      </c>
      <c r="N19" s="31" t="n">
        <v>300000</v>
      </c>
      <c r="O19" s="31" t="n">
        <v>300000</v>
      </c>
      <c r="P19" s="32">
        <f>SUM(C19:O19)</f>
        <v/>
      </c>
    </row>
    <row r="20" ht="22" customHeight="1">
      <c r="B20" s="30" t="inlineStr">
        <is>
          <t xml:space="preserve">  人件費（正社員）</t>
        </is>
      </c>
      <c r="C20" s="31" t="n">
        <v>350000</v>
      </c>
      <c r="D20" s="31" t="n">
        <v>350000</v>
      </c>
      <c r="E20" s="31" t="n">
        <v>350000</v>
      </c>
      <c r="F20" s="31" t="n">
        <v>350000</v>
      </c>
      <c r="G20" s="31" t="n">
        <v>350000</v>
      </c>
      <c r="H20" s="31" t="n">
        <v>350000</v>
      </c>
      <c r="I20" s="31" t="n">
        <v>350000</v>
      </c>
      <c r="J20" s="31" t="n">
        <v>350000</v>
      </c>
      <c r="K20" s="31" t="n">
        <v>350000</v>
      </c>
      <c r="L20" s="31" t="n">
        <v>350000</v>
      </c>
      <c r="M20" s="31" t="n">
        <v>350000</v>
      </c>
      <c r="N20" s="31" t="n">
        <v>350000</v>
      </c>
      <c r="O20" s="31" t="n">
        <v>350000</v>
      </c>
      <c r="P20" s="32">
        <f>SUM(C20:O20)</f>
        <v/>
      </c>
    </row>
    <row r="21" ht="22" customHeight="1">
      <c r="B21" s="30" t="inlineStr">
        <is>
          <t xml:space="preserve">  人件費（アルバイト）</t>
        </is>
      </c>
      <c r="C21" s="31" t="n">
        <v>250000</v>
      </c>
      <c r="D21" s="31" t="n">
        <v>250000</v>
      </c>
      <c r="E21" s="31" t="n">
        <v>250000</v>
      </c>
      <c r="F21" s="31" t="n">
        <v>250000</v>
      </c>
      <c r="G21" s="31" t="n">
        <v>250000</v>
      </c>
      <c r="H21" s="31" t="n">
        <v>250000</v>
      </c>
      <c r="I21" s="31" t="n">
        <v>250000</v>
      </c>
      <c r="J21" s="31" t="n">
        <v>250000</v>
      </c>
      <c r="K21" s="31" t="n">
        <v>250000</v>
      </c>
      <c r="L21" s="31" t="n">
        <v>250000</v>
      </c>
      <c r="M21" s="31" t="n">
        <v>250000</v>
      </c>
      <c r="N21" s="31" t="n">
        <v>250000</v>
      </c>
      <c r="O21" s="31" t="n">
        <v>250000</v>
      </c>
      <c r="P21" s="32">
        <f>SUM(C21:O21)</f>
        <v/>
      </c>
    </row>
    <row r="22" ht="22" customHeight="1">
      <c r="B22" s="30" t="inlineStr">
        <is>
          <t xml:space="preserve">  広告宣伝費・イベント費</t>
        </is>
      </c>
      <c r="C22" s="31" t="n">
        <v>150000</v>
      </c>
      <c r="D22" s="31" t="n">
        <v>150000</v>
      </c>
      <c r="E22" s="31" t="n">
        <v>150000</v>
      </c>
      <c r="F22" s="31" t="n">
        <v>150000</v>
      </c>
      <c r="G22" s="31" t="n">
        <v>150000</v>
      </c>
      <c r="H22" s="31" t="n">
        <v>150000</v>
      </c>
      <c r="I22" s="31" t="n">
        <v>150000</v>
      </c>
      <c r="J22" s="31" t="n">
        <v>150000</v>
      </c>
      <c r="K22" s="31" t="n">
        <v>150000</v>
      </c>
      <c r="L22" s="31" t="n">
        <v>150000</v>
      </c>
      <c r="M22" s="31" t="n">
        <v>150000</v>
      </c>
      <c r="N22" s="31" t="n">
        <v>150000</v>
      </c>
      <c r="O22" s="31" t="n">
        <v>150000</v>
      </c>
      <c r="P22" s="32">
        <f>SUM(C22:O22)</f>
        <v/>
      </c>
    </row>
    <row r="23" ht="22" customHeight="1">
      <c r="B23" s="30" t="inlineStr">
        <is>
          <t xml:space="preserve">  EC決済手数料</t>
        </is>
      </c>
      <c r="C23" s="35">
        <f>ROUND(C9*0.015,0)</f>
        <v/>
      </c>
      <c r="D23" s="35">
        <f>ROUND(D9*0.015,0)</f>
        <v/>
      </c>
      <c r="E23" s="35">
        <f>ROUND(E9*0.015,0)</f>
        <v/>
      </c>
      <c r="F23" s="35">
        <f>ROUND(F9*0.015,0)</f>
        <v/>
      </c>
      <c r="G23" s="35">
        <f>ROUND(G9*0.015,0)</f>
        <v/>
      </c>
      <c r="H23" s="35">
        <f>ROUND(H9*0.015,0)</f>
        <v/>
      </c>
      <c r="I23" s="35">
        <f>ROUND(I9*0.015,0)</f>
        <v/>
      </c>
      <c r="J23" s="35">
        <f>ROUND(J9*0.015,0)</f>
        <v/>
      </c>
      <c r="K23" s="35">
        <f>ROUND(K9*0.015,0)</f>
        <v/>
      </c>
      <c r="L23" s="35">
        <f>ROUND(L9*0.015,0)</f>
        <v/>
      </c>
      <c r="M23" s="35">
        <f>ROUND(M9*0.015,0)</f>
        <v/>
      </c>
      <c r="N23" s="35">
        <f>ROUND(N9*0.015,0)</f>
        <v/>
      </c>
      <c r="O23" s="35">
        <f>ROUND(O9*0.015,0)</f>
        <v/>
      </c>
      <c r="P23" s="32">
        <f>SUM(C23:O23)</f>
        <v/>
      </c>
    </row>
    <row r="24" ht="22" customHeight="1">
      <c r="B24" s="30" t="inlineStr">
        <is>
          <t xml:space="preserve">  荷造運賃</t>
        </is>
      </c>
      <c r="C24" s="31" t="n">
        <v>80000</v>
      </c>
      <c r="D24" s="31" t="n">
        <v>80000</v>
      </c>
      <c r="E24" s="31" t="n">
        <v>80000</v>
      </c>
      <c r="F24" s="31" t="n">
        <v>80000</v>
      </c>
      <c r="G24" s="31" t="n">
        <v>80000</v>
      </c>
      <c r="H24" s="31" t="n">
        <v>80000</v>
      </c>
      <c r="I24" s="31" t="n">
        <v>80000</v>
      </c>
      <c r="J24" s="31" t="n">
        <v>80000</v>
      </c>
      <c r="K24" s="31" t="n">
        <v>80000</v>
      </c>
      <c r="L24" s="31" t="n">
        <v>80000</v>
      </c>
      <c r="M24" s="31" t="n">
        <v>80000</v>
      </c>
      <c r="N24" s="31" t="n">
        <v>80000</v>
      </c>
      <c r="O24" s="31" t="n">
        <v>80000</v>
      </c>
      <c r="P24" s="32">
        <f>SUM(C24:O24)</f>
        <v/>
      </c>
    </row>
    <row r="25" ht="22" customHeight="1">
      <c r="B25" s="30" t="inlineStr">
        <is>
          <t xml:space="preserve">  水道光熱費・システム・その他</t>
        </is>
      </c>
      <c r="C25" s="31" t="n">
        <v>120000</v>
      </c>
      <c r="D25" s="31" t="n">
        <v>120000</v>
      </c>
      <c r="E25" s="31" t="n">
        <v>120000</v>
      </c>
      <c r="F25" s="31" t="n">
        <v>120000</v>
      </c>
      <c r="G25" s="31" t="n">
        <v>120000</v>
      </c>
      <c r="H25" s="31" t="n">
        <v>120000</v>
      </c>
      <c r="I25" s="31" t="n">
        <v>120000</v>
      </c>
      <c r="J25" s="31" t="n">
        <v>120000</v>
      </c>
      <c r="K25" s="31" t="n">
        <v>120000</v>
      </c>
      <c r="L25" s="31" t="n">
        <v>120000</v>
      </c>
      <c r="M25" s="31" t="n">
        <v>120000</v>
      </c>
      <c r="N25" s="31" t="n">
        <v>120000</v>
      </c>
      <c r="O25" s="31" t="n">
        <v>120000</v>
      </c>
      <c r="P25" s="32">
        <f>SUM(C25:O25)</f>
        <v/>
      </c>
    </row>
    <row r="26" ht="22" customHeight="1">
      <c r="B26" s="33" t="inlineStr">
        <is>
          <t xml:space="preserve">  販管費合計</t>
        </is>
      </c>
      <c r="C26" s="34">
        <f>C19+C20+C21+C22+C23+C24+C25</f>
        <v/>
      </c>
      <c r="D26" s="34">
        <f>D19+D20+D21+D22+D23+D24+D25</f>
        <v/>
      </c>
      <c r="E26" s="34">
        <f>E19+E20+E21+E22+E23+E24+E25</f>
        <v/>
      </c>
      <c r="F26" s="34">
        <f>F19+F20+F21+F22+F23+F24+F25</f>
        <v/>
      </c>
      <c r="G26" s="34">
        <f>G19+G20+G21+G22+G23+G24+G25</f>
        <v/>
      </c>
      <c r="H26" s="34">
        <f>H19+H20+H21+H22+H23+H24+H25</f>
        <v/>
      </c>
      <c r="I26" s="34">
        <f>I19+I20+I21+I22+I23+I24+I25</f>
        <v/>
      </c>
      <c r="J26" s="34">
        <f>J19+J20+J21+J22+J23+J24+J25</f>
        <v/>
      </c>
      <c r="K26" s="34">
        <f>K19+K20+K21+K22+K23+K24+K25</f>
        <v/>
      </c>
      <c r="L26" s="34">
        <f>L19+L20+L21+L22+L23+L24+L25</f>
        <v/>
      </c>
      <c r="M26" s="34">
        <f>M19+M20+M21+M22+M23+M24+M25</f>
        <v/>
      </c>
      <c r="N26" s="34">
        <f>N19+N20+N21+N22+N23+N24+N25</f>
        <v/>
      </c>
      <c r="O26" s="34">
        <f>O19+O20+O21+O22+O23+O24+O25</f>
        <v/>
      </c>
      <c r="P26" s="34">
        <f>SUM(C26:O26)</f>
        <v/>
      </c>
    </row>
    <row r="27" ht="8" customHeight="1"/>
    <row r="28" ht="22" customHeight="1">
      <c r="B28" s="38" t="inlineStr">
        <is>
          <t>▌ 営業利益</t>
        </is>
      </c>
      <c r="C28" s="39">
        <f>C16-C26</f>
        <v/>
      </c>
      <c r="D28" s="39">
        <f>D16-D26</f>
        <v/>
      </c>
      <c r="E28" s="39">
        <f>E16-E26</f>
        <v/>
      </c>
      <c r="F28" s="39">
        <f>F16-F26</f>
        <v/>
      </c>
      <c r="G28" s="39">
        <f>G16-G26</f>
        <v/>
      </c>
      <c r="H28" s="39">
        <f>H16-H26</f>
        <v/>
      </c>
      <c r="I28" s="39">
        <f>I16-I26</f>
        <v/>
      </c>
      <c r="J28" s="39">
        <f>J16-J26</f>
        <v/>
      </c>
      <c r="K28" s="39">
        <f>K16-K26</f>
        <v/>
      </c>
      <c r="L28" s="39">
        <f>L16-L26</f>
        <v/>
      </c>
      <c r="M28" s="39">
        <f>M16-M26</f>
        <v/>
      </c>
      <c r="N28" s="39">
        <f>N16-N26</f>
        <v/>
      </c>
      <c r="O28" s="39">
        <f>O16-O26</f>
        <v/>
      </c>
      <c r="P28" s="34">
        <f>SUM(C28:O28)</f>
        <v/>
      </c>
    </row>
    <row r="31">
      <c r="B31" s="46" t="inlineStr">
        <is>
          <t>【主要仮定値】</t>
        </is>
      </c>
    </row>
    <row r="32" ht="18" customHeight="1">
      <c r="B32" s="41" t="inlineStr">
        <is>
          <t xml:space="preserve">  新品売上（月次）</t>
        </is>
      </c>
      <c r="C32" s="42" t="inlineStr">
        <is>
          <t>5,600,000 円</t>
        </is>
      </c>
    </row>
    <row r="33" ht="18" customHeight="1">
      <c r="B33" s="41" t="inlineStr">
        <is>
          <t xml:space="preserve">  中古売上（月次）</t>
        </is>
      </c>
      <c r="C33" s="42" t="inlineStr">
        <is>
          <t>2,400,000 円</t>
        </is>
      </c>
    </row>
    <row r="34" ht="18" customHeight="1">
      <c r="B34" s="41" t="inlineStr">
        <is>
          <t xml:space="preserve">  新品原価率</t>
        </is>
      </c>
      <c r="C34" s="42" t="inlineStr">
        <is>
          <t>70%</t>
        </is>
      </c>
    </row>
    <row r="35" ht="18" customHeight="1">
      <c r="B35" s="41" t="inlineStr">
        <is>
          <t xml:space="preserve">  中古原価率</t>
        </is>
      </c>
      <c r="C35" s="42" t="inlineStr">
        <is>
          <t>50%</t>
        </is>
      </c>
    </row>
    <row r="36" ht="18" customHeight="1">
      <c r="B36" s="41" t="inlineStr">
        <is>
          <t xml:space="preserve">  地代家賃</t>
        </is>
      </c>
      <c r="C36" s="42" t="inlineStr">
        <is>
          <t>300,000 円</t>
        </is>
      </c>
    </row>
    <row r="37" ht="18" customHeight="1">
      <c r="B37" s="41" t="inlineStr">
        <is>
          <t xml:space="preserve">  人件費（正社員）</t>
        </is>
      </c>
      <c r="C37" s="42" t="inlineStr">
        <is>
          <t>350,000 円</t>
        </is>
      </c>
    </row>
    <row r="38" ht="18" customHeight="1">
      <c r="B38" s="41" t="inlineStr">
        <is>
          <t xml:space="preserve">  人件費（アルバイト）</t>
        </is>
      </c>
      <c r="C38" s="42" t="inlineStr">
        <is>
          <t>250,000 円</t>
        </is>
      </c>
    </row>
    <row r="39" ht="18" customHeight="1">
      <c r="B39" s="41" t="inlineStr">
        <is>
          <t xml:space="preserve">  広告・イベント費</t>
        </is>
      </c>
      <c r="C39" s="42" t="inlineStr">
        <is>
          <t>150,000 円</t>
        </is>
      </c>
    </row>
    <row r="40" ht="18" customHeight="1">
      <c r="B40" s="41" t="inlineStr">
        <is>
          <t xml:space="preserve">  EC手数料率</t>
        </is>
      </c>
      <c r="C40" s="42" t="inlineStr">
        <is>
          <t>1.5%</t>
        </is>
      </c>
    </row>
    <row r="41" ht="18" customHeight="1">
      <c r="B41" s="41" t="inlineStr">
        <is>
          <t xml:space="preserve">  荷造運賃</t>
        </is>
      </c>
      <c r="C41" s="42" t="inlineStr">
        <is>
          <t>80,000 円</t>
        </is>
      </c>
    </row>
    <row r="42" ht="18" customHeight="1">
      <c r="B42" s="41" t="inlineStr">
        <is>
          <t xml:space="preserve">  水道光熱費等</t>
        </is>
      </c>
      <c r="C42" s="42" t="inlineStr">
        <is>
          <t>120,000 円</t>
        </is>
      </c>
    </row>
  </sheetData>
  <mergeCells count="5">
    <mergeCell ref="B11:P11"/>
    <mergeCell ref="B6:P6"/>
    <mergeCell ref="B2:P2"/>
    <mergeCell ref="B3:P3"/>
    <mergeCell ref="B18:P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P42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8" customHeight="1"/>
    <row r="2" ht="36" customHeight="1">
      <c r="B2" s="47" t="inlineStr">
        <is>
          <t>月次PLシミュレーション　ハイブリッド（実店舗＋EC）</t>
        </is>
      </c>
    </row>
    <row r="3" ht="20" customHeight="1">
      <c r="B3" s="2" t="inlineStr">
        <is>
          <t>期間：2026年7月〜2027年7月（13ヶ月）　　単位：円</t>
        </is>
      </c>
    </row>
    <row r="4" ht="8" customHeight="1"/>
    <row r="5" ht="28" customHeight="1">
      <c r="B5" s="22" t="inlineStr">
        <is>
          <t>項　目</t>
        </is>
      </c>
      <c r="C5" s="48" t="inlineStr">
        <is>
          <t>2026年7月</t>
        </is>
      </c>
      <c r="D5" s="48" t="inlineStr">
        <is>
          <t>2026年8月</t>
        </is>
      </c>
      <c r="E5" s="48" t="inlineStr">
        <is>
          <t>2026年9月</t>
        </is>
      </c>
      <c r="F5" s="48" t="inlineStr">
        <is>
          <t>2026年10月</t>
        </is>
      </c>
      <c r="G5" s="48" t="inlineStr">
        <is>
          <t>2026年11月</t>
        </is>
      </c>
      <c r="H5" s="48" t="inlineStr">
        <is>
          <t>2026年12月</t>
        </is>
      </c>
      <c r="I5" s="48" t="inlineStr">
        <is>
          <t>2027年1月</t>
        </is>
      </c>
      <c r="J5" s="48" t="inlineStr">
        <is>
          <t>2027年2月</t>
        </is>
      </c>
      <c r="K5" s="48" t="inlineStr">
        <is>
          <t>2027年3月</t>
        </is>
      </c>
      <c r="L5" s="48" t="inlineStr">
        <is>
          <t>2027年4月</t>
        </is>
      </c>
      <c r="M5" s="48" t="inlineStr">
        <is>
          <t>2027年5月</t>
        </is>
      </c>
      <c r="N5" s="48" t="inlineStr">
        <is>
          <t>2027年6月</t>
        </is>
      </c>
      <c r="O5" s="48" t="inlineStr">
        <is>
          <t>2027年7月</t>
        </is>
      </c>
      <c r="P5" s="22" t="inlineStr">
        <is>
          <t>年間合計</t>
        </is>
      </c>
    </row>
    <row r="6" ht="22" customHeight="1">
      <c r="B6" s="49" t="inlineStr">
        <is>
          <t>▌ 売上高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9" t="n"/>
    </row>
    <row r="7" ht="22" customHeight="1">
      <c r="B7" s="30" t="inlineStr">
        <is>
          <t xml:space="preserve">  新品売上</t>
        </is>
      </c>
      <c r="C7" s="31" t="n">
        <v>3500000</v>
      </c>
      <c r="D7" s="31" t="n">
        <v>3500000</v>
      </c>
      <c r="E7" s="31" t="n">
        <v>3500000</v>
      </c>
      <c r="F7" s="31" t="n">
        <v>3500000</v>
      </c>
      <c r="G7" s="31" t="n">
        <v>3500000</v>
      </c>
      <c r="H7" s="31" t="n">
        <v>3500000</v>
      </c>
      <c r="I7" s="31" t="n">
        <v>3500000</v>
      </c>
      <c r="J7" s="31" t="n">
        <v>3500000</v>
      </c>
      <c r="K7" s="31" t="n">
        <v>3500000</v>
      </c>
      <c r="L7" s="31" t="n">
        <v>3500000</v>
      </c>
      <c r="M7" s="31" t="n">
        <v>3500000</v>
      </c>
      <c r="N7" s="31" t="n">
        <v>3500000</v>
      </c>
      <c r="O7" s="31" t="n">
        <v>3500000</v>
      </c>
      <c r="P7" s="32">
        <f>SUM(C7:O7)</f>
        <v/>
      </c>
    </row>
    <row r="8" ht="22" customHeight="1">
      <c r="B8" s="30" t="inlineStr">
        <is>
          <t xml:space="preserve">  中古売上</t>
        </is>
      </c>
      <c r="C8" s="31" t="n">
        <v>1500000</v>
      </c>
      <c r="D8" s="31" t="n">
        <v>1500000</v>
      </c>
      <c r="E8" s="31" t="n">
        <v>1500000</v>
      </c>
      <c r="F8" s="31" t="n">
        <v>1500000</v>
      </c>
      <c r="G8" s="31" t="n">
        <v>1500000</v>
      </c>
      <c r="H8" s="31" t="n">
        <v>1500000</v>
      </c>
      <c r="I8" s="31" t="n">
        <v>1500000</v>
      </c>
      <c r="J8" s="31" t="n">
        <v>1500000</v>
      </c>
      <c r="K8" s="31" t="n">
        <v>1500000</v>
      </c>
      <c r="L8" s="31" t="n">
        <v>1500000</v>
      </c>
      <c r="M8" s="31" t="n">
        <v>1500000</v>
      </c>
      <c r="N8" s="31" t="n">
        <v>1500000</v>
      </c>
      <c r="O8" s="31" t="n">
        <v>1500000</v>
      </c>
      <c r="P8" s="32">
        <f>SUM(C8:O8)</f>
        <v/>
      </c>
    </row>
    <row r="9" ht="22" customHeight="1">
      <c r="B9" s="33" t="inlineStr">
        <is>
          <t xml:space="preserve">  売上合計</t>
        </is>
      </c>
      <c r="C9" s="34">
        <f>C7+C8</f>
        <v/>
      </c>
      <c r="D9" s="34">
        <f>D7+D8</f>
        <v/>
      </c>
      <c r="E9" s="34">
        <f>E7+E8</f>
        <v/>
      </c>
      <c r="F9" s="34">
        <f>F7+F8</f>
        <v/>
      </c>
      <c r="G9" s="34">
        <f>G7+G8</f>
        <v/>
      </c>
      <c r="H9" s="34">
        <f>H7+H8</f>
        <v/>
      </c>
      <c r="I9" s="34">
        <f>I7+I8</f>
        <v/>
      </c>
      <c r="J9" s="34">
        <f>J7+J8</f>
        <v/>
      </c>
      <c r="K9" s="34">
        <f>K7+K8</f>
        <v/>
      </c>
      <c r="L9" s="34">
        <f>L7+L8</f>
        <v/>
      </c>
      <c r="M9" s="34">
        <f>M7+M8</f>
        <v/>
      </c>
      <c r="N9" s="34">
        <f>N7+N8</f>
        <v/>
      </c>
      <c r="O9" s="34">
        <f>O7+O8</f>
        <v/>
      </c>
      <c r="P9" s="34">
        <f>SUM(C9:O9)</f>
        <v/>
      </c>
    </row>
    <row r="10" ht="8" customHeight="1"/>
    <row r="11" ht="22" customHeight="1">
      <c r="B11" s="49" t="inlineStr">
        <is>
          <t>▌ 売上原価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9" t="n"/>
    </row>
    <row r="12" ht="22" customHeight="1">
      <c r="B12" s="30" t="inlineStr">
        <is>
          <t xml:space="preserve">  新品原価</t>
        </is>
      </c>
      <c r="C12" s="35">
        <f>ROUND(C7*0.7,0)</f>
        <v/>
      </c>
      <c r="D12" s="35">
        <f>ROUND(D7*0.7,0)</f>
        <v/>
      </c>
      <c r="E12" s="35">
        <f>ROUND(E7*0.7,0)</f>
        <v/>
      </c>
      <c r="F12" s="35">
        <f>ROUND(F7*0.7,0)</f>
        <v/>
      </c>
      <c r="G12" s="35">
        <f>ROUND(G7*0.7,0)</f>
        <v/>
      </c>
      <c r="H12" s="35">
        <f>ROUND(H7*0.7,0)</f>
        <v/>
      </c>
      <c r="I12" s="35">
        <f>ROUND(I7*0.7,0)</f>
        <v/>
      </c>
      <c r="J12" s="35">
        <f>ROUND(J7*0.7,0)</f>
        <v/>
      </c>
      <c r="K12" s="35">
        <f>ROUND(K7*0.7,0)</f>
        <v/>
      </c>
      <c r="L12" s="35">
        <f>ROUND(L7*0.7,0)</f>
        <v/>
      </c>
      <c r="M12" s="35">
        <f>ROUND(M7*0.7,0)</f>
        <v/>
      </c>
      <c r="N12" s="35">
        <f>ROUND(N7*0.7,0)</f>
        <v/>
      </c>
      <c r="O12" s="35">
        <f>ROUND(O7*0.7,0)</f>
        <v/>
      </c>
      <c r="P12" s="32">
        <f>SUM(C12:O12)</f>
        <v/>
      </c>
    </row>
    <row r="13" ht="22" customHeight="1">
      <c r="B13" s="30" t="inlineStr">
        <is>
          <t xml:space="preserve">  中古原価</t>
        </is>
      </c>
      <c r="C13" s="35">
        <f>ROUND(C8*0.5,0)</f>
        <v/>
      </c>
      <c r="D13" s="35">
        <f>ROUND(D8*0.5,0)</f>
        <v/>
      </c>
      <c r="E13" s="35">
        <f>ROUND(E8*0.5,0)</f>
        <v/>
      </c>
      <c r="F13" s="35">
        <f>ROUND(F8*0.5,0)</f>
        <v/>
      </c>
      <c r="G13" s="35">
        <f>ROUND(G8*0.5,0)</f>
        <v/>
      </c>
      <c r="H13" s="35">
        <f>ROUND(H8*0.5,0)</f>
        <v/>
      </c>
      <c r="I13" s="35">
        <f>ROUND(I8*0.5,0)</f>
        <v/>
      </c>
      <c r="J13" s="35">
        <f>ROUND(J8*0.5,0)</f>
        <v/>
      </c>
      <c r="K13" s="35">
        <f>ROUND(K8*0.5,0)</f>
        <v/>
      </c>
      <c r="L13" s="35">
        <f>ROUND(L8*0.5,0)</f>
        <v/>
      </c>
      <c r="M13" s="35">
        <f>ROUND(M8*0.5,0)</f>
        <v/>
      </c>
      <c r="N13" s="35">
        <f>ROUND(N8*0.5,0)</f>
        <v/>
      </c>
      <c r="O13" s="35">
        <f>ROUND(O8*0.5,0)</f>
        <v/>
      </c>
      <c r="P13" s="32">
        <f>SUM(C13:O13)</f>
        <v/>
      </c>
    </row>
    <row r="14" ht="22" customHeight="1">
      <c r="B14" s="33" t="inlineStr">
        <is>
          <t xml:space="preserve">  原価合計</t>
        </is>
      </c>
      <c r="C14" s="34">
        <f>C12+C13</f>
        <v/>
      </c>
      <c r="D14" s="34">
        <f>D12+D13</f>
        <v/>
      </c>
      <c r="E14" s="34">
        <f>E12+E13</f>
        <v/>
      </c>
      <c r="F14" s="34">
        <f>F12+F13</f>
        <v/>
      </c>
      <c r="G14" s="34">
        <f>G12+G13</f>
        <v/>
      </c>
      <c r="H14" s="34">
        <f>H12+H13</f>
        <v/>
      </c>
      <c r="I14" s="34">
        <f>I12+I13</f>
        <v/>
      </c>
      <c r="J14" s="34">
        <f>J12+J13</f>
        <v/>
      </c>
      <c r="K14" s="34">
        <f>K12+K13</f>
        <v/>
      </c>
      <c r="L14" s="34">
        <f>L12+L13</f>
        <v/>
      </c>
      <c r="M14" s="34">
        <f>M12+M13</f>
        <v/>
      </c>
      <c r="N14" s="34">
        <f>N12+N13</f>
        <v/>
      </c>
      <c r="O14" s="34">
        <f>O12+O13</f>
        <v/>
      </c>
      <c r="P14" s="34">
        <f>SUM(C14:O14)</f>
        <v/>
      </c>
    </row>
    <row r="15" ht="8" customHeight="1"/>
    <row r="16" ht="22" customHeight="1">
      <c r="B16" s="36" t="inlineStr">
        <is>
          <t>▌ 売上総利益（粗利）</t>
        </is>
      </c>
      <c r="C16" s="37">
        <f>C9-C14</f>
        <v/>
      </c>
      <c r="D16" s="37">
        <f>D9-D14</f>
        <v/>
      </c>
      <c r="E16" s="37">
        <f>E9-E14</f>
        <v/>
      </c>
      <c r="F16" s="37">
        <f>F9-F14</f>
        <v/>
      </c>
      <c r="G16" s="37">
        <f>G9-G14</f>
        <v/>
      </c>
      <c r="H16" s="37">
        <f>H9-H14</f>
        <v/>
      </c>
      <c r="I16" s="37">
        <f>I9-I14</f>
        <v/>
      </c>
      <c r="J16" s="37">
        <f>J9-J14</f>
        <v/>
      </c>
      <c r="K16" s="37">
        <f>K9-K14</f>
        <v/>
      </c>
      <c r="L16" s="37">
        <f>L9-L14</f>
        <v/>
      </c>
      <c r="M16" s="37">
        <f>M9-M14</f>
        <v/>
      </c>
      <c r="N16" s="37">
        <f>N9-N14</f>
        <v/>
      </c>
      <c r="O16" s="37">
        <f>O9-O14</f>
        <v/>
      </c>
      <c r="P16" s="34">
        <f>SUM(C16:O16)</f>
        <v/>
      </c>
    </row>
    <row r="17" ht="8" customHeight="1"/>
    <row r="18" ht="22" customHeight="1">
      <c r="B18" s="49" t="inlineStr">
        <is>
          <t>▌ 販売管理費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9" t="n"/>
    </row>
    <row r="19" ht="22" customHeight="1">
      <c r="B19" s="30" t="inlineStr">
        <is>
          <t xml:space="preserve">  地代家賃</t>
        </is>
      </c>
      <c r="C19" s="31" t="n">
        <v>150000</v>
      </c>
      <c r="D19" s="31" t="n">
        <v>150000</v>
      </c>
      <c r="E19" s="31" t="n">
        <v>150000</v>
      </c>
      <c r="F19" s="31" t="n">
        <v>150000</v>
      </c>
      <c r="G19" s="31" t="n">
        <v>150000</v>
      </c>
      <c r="H19" s="31" t="n">
        <v>150000</v>
      </c>
      <c r="I19" s="31" t="n">
        <v>150000</v>
      </c>
      <c r="J19" s="31" t="n">
        <v>150000</v>
      </c>
      <c r="K19" s="31" t="n">
        <v>150000</v>
      </c>
      <c r="L19" s="31" t="n">
        <v>150000</v>
      </c>
      <c r="M19" s="31" t="n">
        <v>150000</v>
      </c>
      <c r="N19" s="31" t="n">
        <v>150000</v>
      </c>
      <c r="O19" s="31" t="n">
        <v>150000</v>
      </c>
      <c r="P19" s="32">
        <f>SUM(C19:O19)</f>
        <v/>
      </c>
    </row>
    <row r="20" ht="22" customHeight="1">
      <c r="B20" s="30" t="inlineStr">
        <is>
          <t xml:space="preserve">  人件費（正社員）</t>
        </is>
      </c>
      <c r="C20" s="31" t="n">
        <v>350000</v>
      </c>
      <c r="D20" s="31" t="n">
        <v>350000</v>
      </c>
      <c r="E20" s="31" t="n">
        <v>350000</v>
      </c>
      <c r="F20" s="31" t="n">
        <v>350000</v>
      </c>
      <c r="G20" s="31" t="n">
        <v>350000</v>
      </c>
      <c r="H20" s="31" t="n">
        <v>350000</v>
      </c>
      <c r="I20" s="31" t="n">
        <v>350000</v>
      </c>
      <c r="J20" s="31" t="n">
        <v>350000</v>
      </c>
      <c r="K20" s="31" t="n">
        <v>350000</v>
      </c>
      <c r="L20" s="31" t="n">
        <v>350000</v>
      </c>
      <c r="M20" s="31" t="n">
        <v>350000</v>
      </c>
      <c r="N20" s="31" t="n">
        <v>350000</v>
      </c>
      <c r="O20" s="31" t="n">
        <v>350000</v>
      </c>
      <c r="P20" s="32">
        <f>SUM(C20:O20)</f>
        <v/>
      </c>
    </row>
    <row r="21" ht="22" customHeight="1">
      <c r="B21" s="30" t="inlineStr">
        <is>
          <t xml:space="preserve">  人件費（アルバイト）</t>
        </is>
      </c>
      <c r="C21" s="31" t="n">
        <v>80000</v>
      </c>
      <c r="D21" s="31" t="n">
        <v>80000</v>
      </c>
      <c r="E21" s="31" t="n">
        <v>80000</v>
      </c>
      <c r="F21" s="31" t="n">
        <v>80000</v>
      </c>
      <c r="G21" s="31" t="n">
        <v>80000</v>
      </c>
      <c r="H21" s="31" t="n">
        <v>80000</v>
      </c>
      <c r="I21" s="31" t="n">
        <v>80000</v>
      </c>
      <c r="J21" s="31" t="n">
        <v>80000</v>
      </c>
      <c r="K21" s="31" t="n">
        <v>80000</v>
      </c>
      <c r="L21" s="31" t="n">
        <v>80000</v>
      </c>
      <c r="M21" s="31" t="n">
        <v>80000</v>
      </c>
      <c r="N21" s="31" t="n">
        <v>80000</v>
      </c>
      <c r="O21" s="31" t="n">
        <v>80000</v>
      </c>
      <c r="P21" s="32">
        <f>SUM(C21:O21)</f>
        <v/>
      </c>
    </row>
    <row r="22" ht="22" customHeight="1">
      <c r="B22" s="30" t="inlineStr">
        <is>
          <t xml:space="preserve">  広告宣伝費・イベント費</t>
        </is>
      </c>
      <c r="C22" s="31" t="n">
        <v>80000</v>
      </c>
      <c r="D22" s="31" t="n">
        <v>80000</v>
      </c>
      <c r="E22" s="31" t="n">
        <v>80000</v>
      </c>
      <c r="F22" s="31" t="n">
        <v>80000</v>
      </c>
      <c r="G22" s="31" t="n">
        <v>80000</v>
      </c>
      <c r="H22" s="31" t="n">
        <v>80000</v>
      </c>
      <c r="I22" s="31" t="n">
        <v>80000</v>
      </c>
      <c r="J22" s="31" t="n">
        <v>80000</v>
      </c>
      <c r="K22" s="31" t="n">
        <v>80000</v>
      </c>
      <c r="L22" s="31" t="n">
        <v>80000</v>
      </c>
      <c r="M22" s="31" t="n">
        <v>80000</v>
      </c>
      <c r="N22" s="31" t="n">
        <v>80000</v>
      </c>
      <c r="O22" s="31" t="n">
        <v>80000</v>
      </c>
      <c r="P22" s="32">
        <f>SUM(C22:O22)</f>
        <v/>
      </c>
    </row>
    <row r="23" ht="22" customHeight="1">
      <c r="B23" s="30" t="inlineStr">
        <is>
          <t xml:space="preserve">  EC決済手数料</t>
        </is>
      </c>
      <c r="C23" s="35">
        <f>ROUND(C9*0.025,0)</f>
        <v/>
      </c>
      <c r="D23" s="35">
        <f>ROUND(D9*0.025,0)</f>
        <v/>
      </c>
      <c r="E23" s="35">
        <f>ROUND(E9*0.025,0)</f>
        <v/>
      </c>
      <c r="F23" s="35">
        <f>ROUND(F9*0.025,0)</f>
        <v/>
      </c>
      <c r="G23" s="35">
        <f>ROUND(G9*0.025,0)</f>
        <v/>
      </c>
      <c r="H23" s="35">
        <f>ROUND(H9*0.025,0)</f>
        <v/>
      </c>
      <c r="I23" s="35">
        <f>ROUND(I9*0.025,0)</f>
        <v/>
      </c>
      <c r="J23" s="35">
        <f>ROUND(J9*0.025,0)</f>
        <v/>
      </c>
      <c r="K23" s="35">
        <f>ROUND(K9*0.025,0)</f>
        <v/>
      </c>
      <c r="L23" s="35">
        <f>ROUND(L9*0.025,0)</f>
        <v/>
      </c>
      <c r="M23" s="35">
        <f>ROUND(M9*0.025,0)</f>
        <v/>
      </c>
      <c r="N23" s="35">
        <f>ROUND(N9*0.025,0)</f>
        <v/>
      </c>
      <c r="O23" s="35">
        <f>ROUND(O9*0.025,0)</f>
        <v/>
      </c>
      <c r="P23" s="32">
        <f>SUM(C23:O23)</f>
        <v/>
      </c>
    </row>
    <row r="24" ht="22" customHeight="1">
      <c r="B24" s="30" t="inlineStr">
        <is>
          <t xml:space="preserve">  荷造運賃</t>
        </is>
      </c>
      <c r="C24" s="31" t="n">
        <v>80000</v>
      </c>
      <c r="D24" s="31" t="n">
        <v>80000</v>
      </c>
      <c r="E24" s="31" t="n">
        <v>80000</v>
      </c>
      <c r="F24" s="31" t="n">
        <v>80000</v>
      </c>
      <c r="G24" s="31" t="n">
        <v>80000</v>
      </c>
      <c r="H24" s="31" t="n">
        <v>80000</v>
      </c>
      <c r="I24" s="31" t="n">
        <v>80000</v>
      </c>
      <c r="J24" s="31" t="n">
        <v>80000</v>
      </c>
      <c r="K24" s="31" t="n">
        <v>80000</v>
      </c>
      <c r="L24" s="31" t="n">
        <v>80000</v>
      </c>
      <c r="M24" s="31" t="n">
        <v>80000</v>
      </c>
      <c r="N24" s="31" t="n">
        <v>80000</v>
      </c>
      <c r="O24" s="31" t="n">
        <v>80000</v>
      </c>
      <c r="P24" s="32">
        <f>SUM(C24:O24)</f>
        <v/>
      </c>
    </row>
    <row r="25" ht="22" customHeight="1">
      <c r="B25" s="30" t="inlineStr">
        <is>
          <t xml:space="preserve">  水道光熱費・システム・その他</t>
        </is>
      </c>
      <c r="C25" s="31" t="n">
        <v>80000</v>
      </c>
      <c r="D25" s="31" t="n">
        <v>80000</v>
      </c>
      <c r="E25" s="31" t="n">
        <v>80000</v>
      </c>
      <c r="F25" s="31" t="n">
        <v>80000</v>
      </c>
      <c r="G25" s="31" t="n">
        <v>80000</v>
      </c>
      <c r="H25" s="31" t="n">
        <v>80000</v>
      </c>
      <c r="I25" s="31" t="n">
        <v>80000</v>
      </c>
      <c r="J25" s="31" t="n">
        <v>80000</v>
      </c>
      <c r="K25" s="31" t="n">
        <v>80000</v>
      </c>
      <c r="L25" s="31" t="n">
        <v>80000</v>
      </c>
      <c r="M25" s="31" t="n">
        <v>80000</v>
      </c>
      <c r="N25" s="31" t="n">
        <v>80000</v>
      </c>
      <c r="O25" s="31" t="n">
        <v>80000</v>
      </c>
      <c r="P25" s="32">
        <f>SUM(C25:O25)</f>
        <v/>
      </c>
    </row>
    <row r="26" ht="22" customHeight="1">
      <c r="B26" s="33" t="inlineStr">
        <is>
          <t xml:space="preserve">  販管費合計</t>
        </is>
      </c>
      <c r="C26" s="34">
        <f>C19+C20+C21+C22+C23+C24+C25</f>
        <v/>
      </c>
      <c r="D26" s="34">
        <f>D19+D20+D21+D22+D23+D24+D25</f>
        <v/>
      </c>
      <c r="E26" s="34">
        <f>E19+E20+E21+E22+E23+E24+E25</f>
        <v/>
      </c>
      <c r="F26" s="34">
        <f>F19+F20+F21+F22+F23+F24+F25</f>
        <v/>
      </c>
      <c r="G26" s="34">
        <f>G19+G20+G21+G22+G23+G24+G25</f>
        <v/>
      </c>
      <c r="H26" s="34">
        <f>H19+H20+H21+H22+H23+H24+H25</f>
        <v/>
      </c>
      <c r="I26" s="34">
        <f>I19+I20+I21+I22+I23+I24+I25</f>
        <v/>
      </c>
      <c r="J26" s="34">
        <f>J19+J20+J21+J22+J23+J24+J25</f>
        <v/>
      </c>
      <c r="K26" s="34">
        <f>K19+K20+K21+K22+K23+K24+K25</f>
        <v/>
      </c>
      <c r="L26" s="34">
        <f>L19+L20+L21+L22+L23+L24+L25</f>
        <v/>
      </c>
      <c r="M26" s="34">
        <f>M19+M20+M21+M22+M23+M24+M25</f>
        <v/>
      </c>
      <c r="N26" s="34">
        <f>N19+N20+N21+N22+N23+N24+N25</f>
        <v/>
      </c>
      <c r="O26" s="34">
        <f>O19+O20+O21+O22+O23+O24+O25</f>
        <v/>
      </c>
      <c r="P26" s="34">
        <f>SUM(C26:O26)</f>
        <v/>
      </c>
    </row>
    <row r="27" ht="8" customHeight="1"/>
    <row r="28" ht="22" customHeight="1">
      <c r="B28" s="38" t="inlineStr">
        <is>
          <t>▌ 営業利益</t>
        </is>
      </c>
      <c r="C28" s="39">
        <f>C16-C26</f>
        <v/>
      </c>
      <c r="D28" s="39">
        <f>D16-D26</f>
        <v/>
      </c>
      <c r="E28" s="39">
        <f>E16-E26</f>
        <v/>
      </c>
      <c r="F28" s="39">
        <f>F16-F26</f>
        <v/>
      </c>
      <c r="G28" s="39">
        <f>G16-G26</f>
        <v/>
      </c>
      <c r="H28" s="39">
        <f>H16-H26</f>
        <v/>
      </c>
      <c r="I28" s="39">
        <f>I16-I26</f>
        <v/>
      </c>
      <c r="J28" s="39">
        <f>J16-J26</f>
        <v/>
      </c>
      <c r="K28" s="39">
        <f>K16-K26</f>
        <v/>
      </c>
      <c r="L28" s="39">
        <f>L16-L26</f>
        <v/>
      </c>
      <c r="M28" s="39">
        <f>M16-M26</f>
        <v/>
      </c>
      <c r="N28" s="39">
        <f>N16-N26</f>
        <v/>
      </c>
      <c r="O28" s="39">
        <f>O16-O26</f>
        <v/>
      </c>
      <c r="P28" s="34">
        <f>SUM(C28:O28)</f>
        <v/>
      </c>
    </row>
    <row r="31">
      <c r="B31" s="50" t="inlineStr">
        <is>
          <t>【主要仮定値】</t>
        </is>
      </c>
    </row>
    <row r="32" ht="18" customHeight="1">
      <c r="B32" s="41" t="inlineStr">
        <is>
          <t xml:space="preserve">  新品売上（月次）</t>
        </is>
      </c>
      <c r="C32" s="42" t="inlineStr">
        <is>
          <t>3,500,000 円</t>
        </is>
      </c>
    </row>
    <row r="33" ht="18" customHeight="1">
      <c r="B33" s="41" t="inlineStr">
        <is>
          <t xml:space="preserve">  中古売上（月次）</t>
        </is>
      </c>
      <c r="C33" s="42" t="inlineStr">
        <is>
          <t>1,500,000 円</t>
        </is>
      </c>
    </row>
    <row r="34" ht="18" customHeight="1">
      <c r="B34" s="41" t="inlineStr">
        <is>
          <t xml:space="preserve">  新品原価率</t>
        </is>
      </c>
      <c r="C34" s="42" t="inlineStr">
        <is>
          <t>70%</t>
        </is>
      </c>
    </row>
    <row r="35" ht="18" customHeight="1">
      <c r="B35" s="41" t="inlineStr">
        <is>
          <t xml:space="preserve">  中古原価率</t>
        </is>
      </c>
      <c r="C35" s="42" t="inlineStr">
        <is>
          <t>50%</t>
        </is>
      </c>
    </row>
    <row r="36" ht="18" customHeight="1">
      <c r="B36" s="41" t="inlineStr">
        <is>
          <t xml:space="preserve">  地代家賃</t>
        </is>
      </c>
      <c r="C36" s="42" t="inlineStr">
        <is>
          <t>150,000 円</t>
        </is>
      </c>
    </row>
    <row r="37" ht="18" customHeight="1">
      <c r="B37" s="41" t="inlineStr">
        <is>
          <t xml:space="preserve">  人件費（正社員）</t>
        </is>
      </c>
      <c r="C37" s="42" t="inlineStr">
        <is>
          <t>350,000 円</t>
        </is>
      </c>
    </row>
    <row r="38" ht="18" customHeight="1">
      <c r="B38" s="41" t="inlineStr">
        <is>
          <t xml:space="preserve">  人件費（アルバイト）</t>
        </is>
      </c>
      <c r="C38" s="42" t="inlineStr">
        <is>
          <t>80,000 円</t>
        </is>
      </c>
    </row>
    <row r="39" ht="18" customHeight="1">
      <c r="B39" s="41" t="inlineStr">
        <is>
          <t xml:space="preserve">  広告・イベント費</t>
        </is>
      </c>
      <c r="C39" s="42" t="inlineStr">
        <is>
          <t>80,000 円</t>
        </is>
      </c>
    </row>
    <row r="40" ht="18" customHeight="1">
      <c r="B40" s="41" t="inlineStr">
        <is>
          <t xml:space="preserve">  EC手数料率</t>
        </is>
      </c>
      <c r="C40" s="42" t="inlineStr">
        <is>
          <t>2.5%</t>
        </is>
      </c>
    </row>
    <row r="41" ht="18" customHeight="1">
      <c r="B41" s="41" t="inlineStr">
        <is>
          <t xml:space="preserve">  荷造運賃</t>
        </is>
      </c>
      <c r="C41" s="42" t="inlineStr">
        <is>
          <t>80,000 円</t>
        </is>
      </c>
    </row>
    <row r="42" ht="18" customHeight="1">
      <c r="B42" s="41" t="inlineStr">
        <is>
          <t xml:space="preserve">  水道光熱費等</t>
        </is>
      </c>
      <c r="C42" s="42" t="inlineStr">
        <is>
          <t>80,000 円</t>
        </is>
      </c>
    </row>
  </sheetData>
  <mergeCells count="5">
    <mergeCell ref="B11:P11"/>
    <mergeCell ref="B6:P6"/>
    <mergeCell ref="B2:P2"/>
    <mergeCell ref="B3:P3"/>
    <mergeCell ref="B18:P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2026-06-15T22:08:37Z</dcterms:created>
  <dcterms:modified xsi:type="dcterms:W3CDTF">2026-06-15T22:08:37Z</dcterms:modified>
</cp:coreProperties>
</file>