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ビジョン・戦略" sheetId="1" state="visible" r:id="rId1"/>
    <sheet name="月次PL" sheetId="2" state="visible" r:id="rId2"/>
    <sheet name="販管費内訳" sheetId="3" state="visible" r:id="rId3"/>
    <sheet name="ダッシュボード" sheetId="4" state="visible" r:id="rId4"/>
  </sheets>
  <definedNames/>
  <calcPr calcId="124519" fullCalcOnLoad="1"/>
</workbook>
</file>

<file path=xl/styles.xml><?xml version="1.0" encoding="utf-8"?>
<styleSheet xmlns="http://schemas.openxmlformats.org/spreadsheetml/2006/main">
  <numFmts count="1">
    <numFmt numFmtId="164" formatCode="0.0&quot;%&quot;"/>
  </numFmts>
  <fonts count="34">
    <font>
      <name val="Calibri"/>
      <family val="2"/>
      <color theme="1"/>
      <sz val="11"/>
      <scheme val="minor"/>
    </font>
    <font>
      <name val="メイリオ"/>
      <b val="1"/>
      <color rgb="00C9A84C"/>
      <sz val="18"/>
    </font>
    <font>
      <name val="メイリオ"/>
      <i val="1"/>
      <color rgb="00F0D080"/>
      <sz val="11"/>
    </font>
    <font>
      <name val="メイリオ"/>
      <b val="1"/>
      <color rgb="00FFFFFF"/>
      <sz val="13"/>
    </font>
    <font>
      <name val="メイリオ"/>
      <b val="1"/>
      <color rgb="00FFFFFF"/>
      <sz val="10"/>
    </font>
    <font>
      <name val="メイリオ"/>
      <b val="1"/>
      <color rgb="001A1A1A"/>
      <sz val="10"/>
    </font>
    <font>
      <name val="メイリオ"/>
      <color rgb="001A1A1A"/>
      <sz val="10"/>
    </font>
    <font>
      <name val="メイリオ"/>
      <color rgb="000D3B44"/>
      <sz val="10"/>
    </font>
    <font>
      <name val="メイリオ"/>
      <color rgb="001A3A1A"/>
      <sz val="10"/>
    </font>
    <font>
      <name val="メイリオ"/>
      <b val="1"/>
      <color rgb="00C9A84C"/>
      <sz val="10"/>
    </font>
    <font>
      <name val="メイリオ"/>
      <color rgb="002C1A00"/>
      <sz val="10"/>
    </font>
    <font>
      <name val="メイリオ"/>
      <b val="1"/>
      <color rgb="00C9A84C"/>
      <sz val="16"/>
    </font>
    <font>
      <name val="メイリオ"/>
      <i val="1"/>
      <color rgb="00CCCCCC"/>
      <sz val="10"/>
    </font>
    <font>
      <name val="メイリオ"/>
      <b val="1"/>
      <color rgb="00FFFFFF"/>
      <sz val="11"/>
    </font>
    <font>
      <name val="メイリオ"/>
      <b val="1"/>
      <color rgb="000D1F3C"/>
      <sz val="11"/>
    </font>
    <font>
      <name val="メイリオ"/>
      <b val="1"/>
      <sz val="10"/>
    </font>
    <font>
      <name val="メイリオ"/>
      <i val="1"/>
      <color rgb="001A1A1A"/>
      <sz val="10"/>
    </font>
    <font>
      <name val="メイリオ"/>
      <b val="1"/>
      <color rgb="001A1A1A"/>
      <sz val="11"/>
    </font>
    <font>
      <name val="メイリオ"/>
      <b val="1"/>
      <sz val="11"/>
    </font>
    <font>
      <name val="メイリオ"/>
      <b val="1"/>
      <color rgb="000D1F3C"/>
      <sz val="10"/>
    </font>
    <font>
      <name val="メイリオ"/>
      <b val="1"/>
      <color rgb="001A6B3A"/>
      <sz val="10"/>
    </font>
    <font>
      <name val="メイリオ"/>
      <color rgb="001F3864"/>
      <sz val="9"/>
    </font>
    <font>
      <name val="メイリオ"/>
      <sz val="10"/>
    </font>
    <font>
      <name val="メイリオ"/>
      <b val="1"/>
      <color rgb="000D1F3C"/>
      <sz val="9"/>
    </font>
    <font>
      <name val="メイリオ"/>
      <b val="1"/>
      <color rgb="00C9A84C"/>
      <sz val="13"/>
    </font>
    <font>
      <name val="メイリオ"/>
      <b val="1"/>
      <color rgb="00C9A84C"/>
      <sz val="11"/>
    </font>
    <font>
      <name val="メイリオ"/>
      <b val="1"/>
      <color rgb="000D1F3C"/>
      <sz val="12"/>
    </font>
    <font>
      <name val="メイリオ"/>
      <b val="1"/>
      <color rgb="00FFFFFF"/>
      <sz val="14"/>
    </font>
    <font>
      <name val="メイリオ"/>
      <b val="1"/>
      <color rgb="000D1F3C"/>
      <sz val="14"/>
    </font>
    <font>
      <name val="メイリオ"/>
      <i val="1"/>
      <color rgb="00FFFFFF"/>
      <sz val="11"/>
    </font>
    <font>
      <name val="メイリオ"/>
      <i val="1"/>
      <color rgb="000D1F3C"/>
      <sz val="11"/>
    </font>
    <font>
      <name val="メイリオ"/>
      <color rgb="00FFFFFF"/>
      <sz val="10"/>
    </font>
    <font>
      <name val="メイリオ"/>
      <color rgb="000D1F3C"/>
      <sz val="10"/>
    </font>
    <font>
      <name val="メイリオ"/>
      <b val="1"/>
      <color rgb="001A6B3A"/>
      <sz val="13"/>
    </font>
  </fonts>
  <fills count="16">
    <fill>
      <patternFill/>
    </fill>
    <fill>
      <patternFill patternType="gray125"/>
    </fill>
    <fill>
      <patternFill patternType="solid">
        <fgColor rgb="000D1F3C"/>
      </patternFill>
    </fill>
    <fill>
      <patternFill patternType="solid">
        <fgColor rgb="001F3864"/>
      </patternFill>
    </fill>
    <fill>
      <patternFill patternType="solid">
        <fgColor rgb="00FFF8E1"/>
      </patternFill>
    </fill>
    <fill>
      <patternFill patternType="solid">
        <fgColor rgb="00FAFAFA"/>
      </patternFill>
    </fill>
    <fill>
      <patternFill patternType="solid">
        <fgColor rgb="000D5C63"/>
      </patternFill>
    </fill>
    <fill>
      <patternFill patternType="solid">
        <fgColor rgb="00E0F4F4"/>
      </patternFill>
    </fill>
    <fill>
      <patternFill patternType="solid">
        <fgColor rgb="001A6B3A"/>
      </patternFill>
    </fill>
    <fill>
      <patternFill patternType="solid">
        <fgColor rgb="00E8F5E9"/>
      </patternFill>
    </fill>
    <fill>
      <patternFill patternType="solid">
        <fgColor rgb="00C9A84C"/>
      </patternFill>
    </fill>
    <fill>
      <patternFill patternType="solid">
        <fgColor rgb="00EBF5FB"/>
      </patternFill>
    </fill>
    <fill>
      <patternFill patternType="solid">
        <fgColor rgb="00FFF3CD"/>
      </patternFill>
    </fill>
    <fill>
      <patternFill patternType="solid">
        <fgColor rgb="00D5F5E3"/>
      </patternFill>
    </fill>
    <fill>
      <patternFill patternType="solid">
        <fgColor rgb="00D6EAF8"/>
      </patternFill>
    </fill>
    <fill>
      <patternFill patternType="solid">
        <fgColor rgb="00595959"/>
      </patternFill>
    </fill>
  </fills>
  <borders count="5">
    <border>
      <left/>
      <right/>
      <top/>
      <bottom/>
      <diagonal/>
    </border>
    <border>
      <left style="thin">
        <color rgb="00C8C8C8"/>
      </left>
      <right style="thin">
        <color rgb="00C8C8C8"/>
      </right>
      <top style="thin">
        <color rgb="00C8C8C8"/>
      </top>
      <bottom style="thin">
        <color rgb="00C8C8C8"/>
      </bottom>
    </border>
    <border>
      <left/>
      <right/>
      <top style="thin">
        <color rgb="00C8C8C8"/>
      </top>
      <bottom/>
      <diagonal/>
    </border>
    <border>
      <left/>
      <right style="thin">
        <color rgb="00C8C8C8"/>
      </right>
      <top style="thin">
        <color rgb="00C8C8C8"/>
      </top>
      <bottom/>
      <diagonal/>
    </border>
    <border>
      <left/>
      <right style="thin">
        <color rgb="00C8C8C8"/>
      </right>
      <top style="thin">
        <color rgb="00C8C8C8"/>
      </top>
      <bottom style="thin">
        <color rgb="00C8C8C8"/>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left" vertical="center"/>
    </xf>
    <xf numFmtId="0" fontId="0" fillId="0" borderId="4" pivotButton="0" quotePrefix="0" xfId="0"/>
    <xf numFmtId="0" fontId="4" fillId="3" borderId="1" applyAlignment="1" pivotButton="0" quotePrefix="0" xfId="0">
      <alignment horizontal="left" vertical="center"/>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5" borderId="1" applyAlignment="1" pivotButton="0" quotePrefix="0" xfId="0">
      <alignment horizontal="left" vertical="center" wrapText="1"/>
    </xf>
    <xf numFmtId="0" fontId="4" fillId="6" borderId="1" applyAlignment="1" pivotButton="0" quotePrefix="0" xfId="0">
      <alignment horizontal="left" vertical="center"/>
    </xf>
    <xf numFmtId="0" fontId="7" fillId="7" borderId="1" applyAlignment="1" pivotButton="0" quotePrefix="0" xfId="0">
      <alignment horizontal="left" vertical="center" wrapText="1"/>
    </xf>
    <xf numFmtId="0" fontId="4" fillId="8" borderId="1" applyAlignment="1" pivotButton="0" quotePrefix="0" xfId="0">
      <alignment horizontal="left" vertical="center"/>
    </xf>
    <xf numFmtId="0" fontId="8" fillId="9"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1" fillId="2" borderId="0" applyAlignment="1" pivotButton="0" quotePrefix="0" xfId="0">
      <alignment horizontal="left" vertical="center"/>
    </xf>
    <xf numFmtId="0" fontId="12" fillId="3" borderId="0" applyAlignment="1" pivotButton="0" quotePrefix="0" xfId="0">
      <alignment horizontal="left" vertical="center"/>
    </xf>
    <xf numFmtId="0" fontId="13" fillId="2" borderId="1" applyAlignment="1" pivotButton="0" quotePrefix="0" xfId="0">
      <alignment horizontal="center" vertical="center"/>
    </xf>
    <xf numFmtId="0" fontId="4" fillId="2" borderId="1" applyAlignment="1" pivotButton="0" quotePrefix="0" xfId="0">
      <alignment horizontal="center" vertical="center"/>
    </xf>
    <xf numFmtId="0" fontId="14" fillId="10" borderId="1" applyAlignment="1" pivotButton="0" quotePrefix="0" xfId="0">
      <alignment horizontal="center" vertical="center"/>
    </xf>
    <xf numFmtId="0" fontId="13" fillId="3" borderId="1" applyAlignment="1" pivotButton="0" quotePrefix="0" xfId="0">
      <alignment horizontal="left" vertical="center"/>
    </xf>
    <xf numFmtId="0" fontId="6" fillId="11" borderId="1" applyAlignment="1" pivotButton="0" quotePrefix="0" xfId="0">
      <alignment horizontal="left" vertical="center"/>
    </xf>
    <xf numFmtId="3" fontId="6" fillId="11" borderId="1" applyAlignment="1" pivotButton="0" quotePrefix="0" xfId="0">
      <alignment horizontal="right" vertical="center"/>
    </xf>
    <xf numFmtId="3" fontId="15" fillId="12" borderId="1" applyAlignment="1" pivotButton="0" quotePrefix="0" xfId="0">
      <alignment horizontal="right" vertical="center"/>
    </xf>
    <xf numFmtId="0" fontId="5" fillId="12" borderId="1" applyAlignment="1" pivotButton="0" quotePrefix="0" xfId="0">
      <alignment horizontal="left" vertical="center"/>
    </xf>
    <xf numFmtId="3" fontId="16" fillId="11" borderId="1" applyAlignment="1" pivotButton="0" quotePrefix="0" xfId="0">
      <alignment horizontal="right" vertical="center"/>
    </xf>
    <xf numFmtId="0" fontId="17" fillId="13" borderId="1" applyAlignment="1" pivotButton="0" quotePrefix="0" xfId="0">
      <alignment horizontal="left" vertical="center"/>
    </xf>
    <xf numFmtId="3" fontId="18" fillId="13" borderId="1" applyAlignment="1" pivotButton="0" quotePrefix="0" xfId="0">
      <alignment horizontal="right" vertical="center"/>
    </xf>
    <xf numFmtId="3" fontId="14" fillId="4" borderId="1" applyAlignment="1" pivotButton="0" quotePrefix="0" xfId="0">
      <alignment horizontal="right" vertical="center"/>
    </xf>
    <xf numFmtId="0" fontId="5" fillId="14" borderId="1" applyAlignment="1" pivotButton="0" quotePrefix="0" xfId="0">
      <alignment horizontal="left" vertical="center"/>
    </xf>
    <xf numFmtId="164" fontId="19" fillId="14" borderId="1" applyAlignment="1" pivotButton="0" quotePrefix="0" xfId="0">
      <alignment horizontal="right" vertical="center"/>
    </xf>
    <xf numFmtId="164" fontId="19" fillId="4" borderId="1" applyAlignment="1" pivotButton="0" quotePrefix="0" xfId="0">
      <alignment horizontal="right" vertical="center"/>
    </xf>
    <xf numFmtId="0" fontId="5" fillId="13" borderId="1" applyAlignment="1" pivotButton="0" quotePrefix="0" xfId="0">
      <alignment horizontal="left" vertical="center"/>
    </xf>
    <xf numFmtId="164" fontId="20" fillId="13" borderId="1" applyAlignment="1" pivotButton="0" quotePrefix="0" xfId="0">
      <alignment horizontal="right" vertical="center"/>
    </xf>
    <xf numFmtId="164" fontId="20" fillId="4" borderId="1" applyAlignment="1" pivotButton="0" quotePrefix="0" xfId="0">
      <alignment horizontal="right" vertical="center"/>
    </xf>
    <xf numFmtId="0" fontId="13" fillId="6" borderId="1" applyAlignment="1" pivotButton="0" quotePrefix="0" xfId="0">
      <alignment horizontal="left" vertical="center"/>
    </xf>
    <xf numFmtId="0" fontId="21" fillId="14" borderId="1" applyAlignment="1" pivotButton="0" quotePrefix="0" xfId="0">
      <alignment horizontal="center" vertical="center"/>
    </xf>
    <xf numFmtId="3" fontId="22" fillId="11" borderId="1" applyAlignment="1" pivotButton="0" quotePrefix="0" xfId="0">
      <alignment horizontal="right" vertical="center"/>
    </xf>
    <xf numFmtId="0" fontId="23" fillId="12" borderId="1" applyAlignment="1" pivotButton="0" quotePrefix="0" xfId="0">
      <alignment horizontal="center" vertical="center"/>
    </xf>
    <xf numFmtId="3" fontId="19" fillId="4" borderId="1" applyAlignment="1" pivotButton="0" quotePrefix="0" xfId="0">
      <alignment horizontal="right" vertical="center"/>
    </xf>
    <xf numFmtId="0" fontId="24" fillId="2" borderId="1" applyAlignment="1" pivotButton="0" quotePrefix="0" xfId="0">
      <alignment horizontal="left" vertical="center"/>
    </xf>
    <xf numFmtId="0" fontId="25" fillId="2" borderId="1" applyAlignment="1" pivotButton="0" quotePrefix="0" xfId="0">
      <alignment horizontal="center" vertical="center"/>
    </xf>
    <xf numFmtId="3" fontId="26" fillId="4" borderId="1" applyAlignment="1" pivotButton="0" quotePrefix="0" xfId="0">
      <alignment horizontal="right" vertical="center"/>
    </xf>
    <xf numFmtId="3" fontId="26" fillId="10" borderId="1" applyAlignment="1" pivotButton="0" quotePrefix="0" xfId="0">
      <alignment horizontal="right" vertical="center"/>
    </xf>
    <xf numFmtId="0" fontId="3" fillId="6" borderId="1" applyAlignment="1" pivotButton="0" quotePrefix="0" xfId="0">
      <alignment horizontal="left" vertical="center"/>
    </xf>
    <xf numFmtId="0" fontId="4" fillId="3" borderId="1" applyAlignment="1" pivotButton="0" quotePrefix="0" xfId="0">
      <alignment horizontal="center" vertical="center"/>
    </xf>
    <xf numFmtId="0" fontId="4" fillId="8" borderId="1" applyAlignment="1" pivotButton="0" quotePrefix="0" xfId="0">
      <alignment horizontal="center" vertical="center"/>
    </xf>
    <xf numFmtId="0" fontId="4" fillId="15" borderId="1" applyAlignment="1" pivotButton="0" quotePrefix="0" xfId="0">
      <alignment horizontal="center" vertical="center"/>
    </xf>
    <xf numFmtId="0" fontId="19" fillId="10" borderId="1" applyAlignment="1" pivotButton="0" quotePrefix="0" xfId="0">
      <alignment horizontal="center" vertical="center"/>
    </xf>
    <xf numFmtId="3" fontId="27" fillId="3" borderId="1" applyAlignment="1" pivotButton="0" quotePrefix="0" xfId="0">
      <alignment horizontal="center" vertical="center"/>
    </xf>
    <xf numFmtId="3" fontId="27" fillId="8" borderId="1" applyAlignment="1" pivotButton="0" quotePrefix="0" xfId="0">
      <alignment horizontal="center" vertical="center"/>
    </xf>
    <xf numFmtId="3" fontId="27" fillId="15" borderId="1" applyAlignment="1" pivotButton="0" quotePrefix="0" xfId="0">
      <alignment horizontal="center" vertical="center"/>
    </xf>
    <xf numFmtId="3" fontId="28" fillId="10" borderId="1" applyAlignment="1" pivotButton="0" quotePrefix="0" xfId="0">
      <alignment horizontal="center" vertical="center"/>
    </xf>
    <xf numFmtId="3" fontId="29" fillId="3" borderId="1" applyAlignment="1" pivotButton="0" quotePrefix="0" xfId="0">
      <alignment horizontal="center" vertical="center"/>
    </xf>
    <xf numFmtId="3" fontId="29" fillId="8" borderId="1" applyAlignment="1" pivotButton="0" quotePrefix="0" xfId="0">
      <alignment horizontal="center" vertical="center"/>
    </xf>
    <xf numFmtId="3" fontId="29" fillId="15" borderId="1" applyAlignment="1" pivotButton="0" quotePrefix="0" xfId="0">
      <alignment horizontal="center" vertical="center"/>
    </xf>
    <xf numFmtId="3" fontId="30" fillId="10" borderId="1" applyAlignment="1" pivotButton="0" quotePrefix="0" xfId="0">
      <alignment horizontal="center" vertical="center"/>
    </xf>
    <xf numFmtId="0" fontId="3" fillId="3" borderId="1" applyAlignment="1" pivotButton="0" quotePrefix="0" xfId="0">
      <alignment horizontal="left" vertical="center"/>
    </xf>
    <xf numFmtId="0" fontId="22" fillId="14" borderId="1" applyAlignment="1" pivotButton="0" quotePrefix="0" xfId="0">
      <alignment horizontal="center" vertical="center"/>
    </xf>
    <xf numFmtId="3" fontId="31" fillId="3" borderId="1" applyAlignment="1" pivotButton="0" quotePrefix="0" xfId="0">
      <alignment horizontal="right" vertical="center"/>
    </xf>
    <xf numFmtId="3" fontId="31" fillId="8" borderId="1" applyAlignment="1" pivotButton="0" quotePrefix="0" xfId="0">
      <alignment horizontal="right" vertical="center"/>
    </xf>
    <xf numFmtId="3" fontId="31" fillId="15" borderId="1" applyAlignment="1" pivotButton="0" quotePrefix="0" xfId="0">
      <alignment horizontal="right" vertical="center"/>
    </xf>
    <xf numFmtId="3" fontId="32" fillId="10" borderId="1" applyAlignment="1" pivotButton="0" quotePrefix="0" xfId="0">
      <alignment horizontal="right" vertical="center"/>
    </xf>
    <xf numFmtId="0" fontId="3" fillId="8" borderId="1" applyAlignment="1" pivotButton="0" quotePrefix="0" xfId="0">
      <alignment horizontal="left" vertical="center"/>
    </xf>
    <xf numFmtId="0" fontId="19" fillId="14" borderId="1" applyAlignment="1" pivotButton="0" quotePrefix="0" xfId="0">
      <alignment horizontal="center" vertical="center"/>
    </xf>
    <xf numFmtId="164" fontId="3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4"/>
  <sheetViews>
    <sheetView showGridLines="1" workbookViewId="0">
      <selection activeCell="A1" sqref="A1"/>
    </sheetView>
  </sheetViews>
  <sheetFormatPr baseColWidth="8" defaultRowHeight="15"/>
  <cols>
    <col width="4" customWidth="1" min="1" max="1"/>
    <col width="26" customWidth="1" min="2" max="2"/>
    <col width="60" customWidth="1" min="3" max="3"/>
    <col width="4" customWidth="1" min="4" max="4"/>
  </cols>
  <sheetData>
    <row r="1" ht="10" customHeight="1"/>
    <row r="2" ht="50" customHeight="1">
      <c r="B2" s="1" t="inlineStr">
        <is>
          <t>本気でカードで儲ける　トレーディングカードショップ　事業ビジョン</t>
        </is>
      </c>
    </row>
    <row r="3" ht="24" customHeight="1">
      <c r="B3" s="2" t="inlineStr">
        <is>
          <t>KGI：月次営業利益200万円　｜　ポケモン・ワンピース主軸　｜　2026年7月スタート</t>
        </is>
      </c>
    </row>
    <row r="4" ht="10" customHeight="1"/>
    <row r="5" ht="32" customHeight="1">
      <c r="B5" s="3" t="inlineStr">
        <is>
          <t>🎯  ミッション　／　ビジョン</t>
        </is>
      </c>
      <c r="C5" s="4" t="n"/>
    </row>
    <row r="6" ht="44" customHeight="1">
      <c r="B6" s="5" t="inlineStr">
        <is>
          <t>ミッション</t>
        </is>
      </c>
      <c r="C6" s="6" t="inlineStr">
        <is>
          <t>「カードに本気な人と、カードを楽しみたい人を、最高の体験でつなぐ」
買取・販売・イベントを通じて、地域とオンラインの両方でカルチャーの拠点となる。</t>
        </is>
      </c>
    </row>
    <row r="7" ht="44" customHeight="1">
      <c r="B7" s="5" t="inlineStr">
        <is>
          <t>ビジョン</t>
        </is>
      </c>
      <c r="C7" s="7" t="inlineStr">
        <is>
          <t>3年以内に年商3億・月次利益500万円を達成し、直営2店舗＋EC年商1億の
「ポケモン×ワンピース専門ショップ」としてブランド確立を目指す。</t>
        </is>
      </c>
    </row>
    <row r="8" ht="10" customHeight="1"/>
    <row r="9" ht="32" customHeight="1">
      <c r="B9" s="3" t="inlineStr">
        <is>
          <t>💴  収益モデル　「月次売上1,000万・営業利益200万」の構造</t>
        </is>
      </c>
      <c r="C9" s="4" t="n"/>
    </row>
    <row r="10" ht="44" customHeight="1">
      <c r="B10" s="5" t="inlineStr">
        <is>
          <t>新品販売（ECメイン）</t>
        </is>
      </c>
      <c r="C10" s="8" t="inlineStr">
        <is>
          <t>売上700万 / 原価率70% / 粗利210万　←　ボックス・パック・シングル。
メルカリShops・自社EC・実店舗の3チャネル展開で在庫回転率を最大化。</t>
        </is>
      </c>
    </row>
    <row r="11" ht="44" customHeight="1">
      <c r="B11" s="5" t="inlineStr">
        <is>
          <t>中古・シングル買取販売</t>
        </is>
      </c>
      <c r="C11" s="8" t="inlineStr">
        <is>
          <t>売上300万 / 原価率50% / 粗利150万　←　個人買取が最大の利益源。
「その場で査定・即現金」を武器に買取量を積み上げ、粗利50%以上を死守する。</t>
        </is>
      </c>
    </row>
    <row r="12" ht="44" customHeight="1">
      <c r="B12" s="5" t="inlineStr">
        <is>
          <t>販管費コントロール</t>
        </is>
      </c>
      <c r="C12" s="8" t="inlineStr">
        <is>
          <t>月次販管費160万以内に抑制。人件費・家賃・広告の3大費目を毎月モニタリング。
EC手数料はチャネルミックスで実質2%未満に最適化する。</t>
        </is>
      </c>
    </row>
    <row r="13" ht="44" customHeight="1">
      <c r="B13" s="5" t="inlineStr">
        <is>
          <t>スケール戦略</t>
        </is>
      </c>
      <c r="C13" s="8" t="inlineStr">
        <is>
          <t>達成後は中古買取強化（粗利率が高い）・イベント主催（原価ほぼゼロ）・
サブスク封入パック等で高粗利の売上ミックスを改善し営業利益率を30%以上へ。</t>
        </is>
      </c>
    </row>
    <row r="14" ht="10" customHeight="1"/>
    <row r="15" ht="32" customHeight="1">
      <c r="B15" s="3" t="inlineStr">
        <is>
          <t>📊  月次KPI　ターゲット（200万利益達成ライン）</t>
        </is>
      </c>
      <c r="C15" s="4" t="n"/>
    </row>
    <row r="16" ht="22" customHeight="1">
      <c r="B16" s="9" t="inlineStr">
        <is>
          <t>月次売上目標</t>
        </is>
      </c>
      <c r="C16" s="10" t="inlineStr">
        <is>
          <t>1,000万円（新品700万＋中古300万）</t>
        </is>
      </c>
    </row>
    <row r="17" ht="22" customHeight="1">
      <c r="B17" s="9" t="inlineStr">
        <is>
          <t>月次粗利目標</t>
        </is>
      </c>
      <c r="C17" s="10" t="inlineStr">
        <is>
          <t>360万円（粗利率36%）</t>
        </is>
      </c>
    </row>
    <row r="18" ht="22" customHeight="1">
      <c r="B18" s="9" t="inlineStr">
        <is>
          <t>月次販管費上限</t>
        </is>
      </c>
      <c r="C18" s="10" t="inlineStr">
        <is>
          <t>160万円（粗利の44%以内）</t>
        </is>
      </c>
    </row>
    <row r="19" ht="22" customHeight="1">
      <c r="B19" s="9" t="inlineStr">
        <is>
          <t>月次営業利益目標</t>
        </is>
      </c>
      <c r="C19" s="10" t="inlineStr">
        <is>
          <t>200万円（利益率20%）　★KGI</t>
        </is>
      </c>
    </row>
    <row r="20" ht="22" customHeight="1">
      <c r="B20" s="9" t="inlineStr">
        <is>
          <t>新品在庫回転率</t>
        </is>
      </c>
      <c r="C20" s="10" t="inlineStr">
        <is>
          <t>月2.5回転以上（適正在庫: 280万円規模）</t>
        </is>
      </c>
    </row>
    <row r="21" ht="22" customHeight="1">
      <c r="B21" s="9" t="inlineStr">
        <is>
          <t>中古買取件数</t>
        </is>
      </c>
      <c r="C21" s="10" t="inlineStr">
        <is>
          <t>月80件以上（平均単価3.75万円/件）</t>
        </is>
      </c>
    </row>
    <row r="22" ht="22" customHeight="1">
      <c r="B22" s="9" t="inlineStr">
        <is>
          <t>EC売上比率</t>
        </is>
      </c>
      <c r="C22" s="10" t="inlineStr">
        <is>
          <t>新品の50%以上はEC経由（送料・手数料コスト最適化）</t>
        </is>
      </c>
    </row>
    <row r="23" ht="22" customHeight="1">
      <c r="B23" s="9" t="inlineStr">
        <is>
          <t>SNSフォロワー</t>
        </is>
      </c>
      <c r="C23" s="10" t="inlineStr">
        <is>
          <t>開店6ヶ月でInstagram/X 合計5,000人以上</t>
        </is>
      </c>
    </row>
    <row r="24" ht="10" customHeight="1"/>
    <row r="25" ht="32" customHeight="1">
      <c r="B25" s="3" t="inlineStr">
        <is>
          <t>🗺️  成長ロードマップ</t>
        </is>
      </c>
      <c r="C25" s="4" t="n"/>
    </row>
    <row r="26" ht="50" customHeight="1">
      <c r="B26" s="11" t="inlineStr">
        <is>
          <t>Phase 1　立上期
（〜3ヶ月）</t>
        </is>
      </c>
      <c r="C26" s="12" t="inlineStr">
        <is>
          <t>【仕込み】在庫確保・EC出品体制構築・SNSアカウント開設。
買取ルート開拓（個人・カードショップ・オークション）。売上500万→700万ランプアップ。</t>
        </is>
      </c>
    </row>
    <row r="27" ht="50" customHeight="1">
      <c r="B27" s="11" t="inlineStr">
        <is>
          <t>Phase 2　安定期
（4〜9ヶ月）</t>
        </is>
      </c>
      <c r="C27" s="12" t="inlineStr">
        <is>
          <t>【稼ぐ】月次売上1,000万・利益200万の安定達成。
リピーター育成・メルマガ・LINE公式アカウントで顧客ロイヤルティ強化。</t>
        </is>
      </c>
    </row>
    <row r="28" ht="50" customHeight="1">
      <c r="B28" s="11" t="inlineStr">
        <is>
          <t>Phase 3　拡張期
（10〜13ヶ月）</t>
        </is>
      </c>
      <c r="C28" s="12" t="inlineStr">
        <is>
          <t>【攻める】大型イベント主催（トーナメント等）・限定BOX予約販売導入。
利益の一部を2号店の保証金・初期在庫に積立開始。目標: 累計利益2,500万円突破。</t>
        </is>
      </c>
    </row>
    <row r="29" ht="50" customHeight="1">
      <c r="B29" s="11" t="inlineStr">
        <is>
          <t>Phase 4　スケール
（2年目〜）</t>
        </is>
      </c>
      <c r="C29" s="12" t="inlineStr">
        <is>
          <t>【広げる】直営2店舗目 or フランチャイズ展開・法人化・外部資本調達検討。
年商3億・月次利益500万円達成で「業界標準の独立カードショップ」モデルを確立。</t>
        </is>
      </c>
    </row>
    <row r="30" ht="10" customHeight="1"/>
    <row r="31" ht="32" customHeight="1">
      <c r="B31" s="3" t="inlineStr">
        <is>
          <t>⚡  絶対に外せない勝ち筋　3原則</t>
        </is>
      </c>
      <c r="C31" s="4" t="n"/>
    </row>
    <row r="32" ht="50" customHeight="1">
      <c r="B32" s="13" t="inlineStr">
        <is>
          <t>原則①  買取が命</t>
        </is>
      </c>
      <c r="C32" s="14" t="inlineStr">
        <is>
          <t>「売る前に買う」。高粗利の中古シングルを安定調達できれば利益は安定する。
買取価格の査定精度を上げ、他店より1〜5%高く買って、2〜3倍で売る構造を作る。</t>
        </is>
      </c>
    </row>
    <row r="33" ht="50" customHeight="1">
      <c r="B33" s="13" t="inlineStr">
        <is>
          <t>原則②  在庫を腐らせない</t>
        </is>
      </c>
      <c r="C33" s="14" t="inlineStr">
        <is>
          <t>新品は「封入期待値×市場相場」を毎日ウォッチし、需要ピーク前に仕入れ、ピークで売り切る。
売れ残りは即EC値引き・抱き合わせ販売で現金化。在庫は「死に金」と心得る。</t>
        </is>
      </c>
    </row>
    <row r="34" ht="50" customHeight="1">
      <c r="B34" s="13" t="inlineStr">
        <is>
          <t>原則③  数字で経営する</t>
        </is>
      </c>
      <c r="C34" s="14" t="inlineStr">
        <is>
          <t>このPLを毎月更新し、粗利率・営業利益・在庫回転率の3指標を週次でチェック。
「なんとなく売れてる」ではなく「なぜ儲かったか/損したか」を数字で語れる経営者になる。</t>
        </is>
      </c>
    </row>
  </sheetData>
  <mergeCells count="7">
    <mergeCell ref="B2:C2"/>
    <mergeCell ref="B15:C15"/>
    <mergeCell ref="B25:C25"/>
    <mergeCell ref="B3:C3"/>
    <mergeCell ref="B5:C5"/>
    <mergeCell ref="B31:C31"/>
    <mergeCell ref="B9:C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P31"/>
  <sheetViews>
    <sheetView showGridLines="1"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10" customHeight="1"/>
    <row r="2" ht="44" customHeight="1">
      <c r="B2" s="15" t="inlineStr">
        <is>
          <t>月次PLシミュレーション　「月次営業利益200万円」達成プラン</t>
        </is>
      </c>
    </row>
    <row r="3" ht="22" customHeight="1">
      <c r="B3" s="16" t="inlineStr">
        <is>
          <t>期間：2026年7月〜2027年7月（13ヶ月）　｜　売上1,000万 / 粗利360万 / 販管費160万 / 営業利益200万　｜　単位：円</t>
        </is>
      </c>
    </row>
    <row r="4" ht="10" customHeight="1"/>
    <row r="5" ht="28" customHeight="1">
      <c r="B5" s="17" t="inlineStr">
        <is>
          <t>項　目</t>
        </is>
      </c>
      <c r="C5" s="18" t="inlineStr">
        <is>
          <t>2026年7月</t>
        </is>
      </c>
      <c r="D5" s="18" t="inlineStr">
        <is>
          <t>2026年8月</t>
        </is>
      </c>
      <c r="E5" s="18" t="inlineStr">
        <is>
          <t>2026年9月</t>
        </is>
      </c>
      <c r="F5" s="18" t="inlineStr">
        <is>
          <t>2026年10月</t>
        </is>
      </c>
      <c r="G5" s="18" t="inlineStr">
        <is>
          <t>2026年11月</t>
        </is>
      </c>
      <c r="H5" s="18" t="inlineStr">
        <is>
          <t>2026年12月</t>
        </is>
      </c>
      <c r="I5" s="18" t="inlineStr">
        <is>
          <t>2027年1月</t>
        </is>
      </c>
      <c r="J5" s="18" t="inlineStr">
        <is>
          <t>2027年2月</t>
        </is>
      </c>
      <c r="K5" s="18" t="inlineStr">
        <is>
          <t>2027年3月</t>
        </is>
      </c>
      <c r="L5" s="18" t="inlineStr">
        <is>
          <t>2027年4月</t>
        </is>
      </c>
      <c r="M5" s="18" t="inlineStr">
        <is>
          <t>2027年5月</t>
        </is>
      </c>
      <c r="N5" s="18" t="inlineStr">
        <is>
          <t>2027年6月</t>
        </is>
      </c>
      <c r="O5" s="18" t="inlineStr">
        <is>
          <t>2027年7月</t>
        </is>
      </c>
      <c r="P5" s="19" t="inlineStr">
        <is>
          <t>年間合計</t>
        </is>
      </c>
    </row>
    <row r="6" ht="24" customHeight="1">
      <c r="B6" s="20" t="inlineStr">
        <is>
          <t>▌ 売上高</t>
        </is>
      </c>
    </row>
    <row r="7" ht="22" customHeight="1">
      <c r="B7" s="21" t="inlineStr">
        <is>
          <t xml:space="preserve">  新品売上</t>
        </is>
      </c>
      <c r="C7" s="22" t="n">
        <v>7000000</v>
      </c>
      <c r="D7" s="22" t="n">
        <v>7000000</v>
      </c>
      <c r="E7" s="22" t="n">
        <v>7000000</v>
      </c>
      <c r="F7" s="22" t="n">
        <v>7000000</v>
      </c>
      <c r="G7" s="22" t="n">
        <v>7000000</v>
      </c>
      <c r="H7" s="22" t="n">
        <v>7000000</v>
      </c>
      <c r="I7" s="22" t="n">
        <v>7000000</v>
      </c>
      <c r="J7" s="22" t="n">
        <v>7000000</v>
      </c>
      <c r="K7" s="22" t="n">
        <v>7000000</v>
      </c>
      <c r="L7" s="22" t="n">
        <v>7000000</v>
      </c>
      <c r="M7" s="22" t="n">
        <v>7000000</v>
      </c>
      <c r="N7" s="22" t="n">
        <v>7000000</v>
      </c>
      <c r="O7" s="22" t="n">
        <v>7000000</v>
      </c>
      <c r="P7" s="23">
        <f>SUM(C7:O7)</f>
        <v/>
      </c>
    </row>
    <row r="8" ht="22" customHeight="1">
      <c r="B8" s="21" t="inlineStr">
        <is>
          <t xml:space="preserve">  中古売上</t>
        </is>
      </c>
      <c r="C8" s="22" t="n">
        <v>3000000</v>
      </c>
      <c r="D8" s="22" t="n">
        <v>3000000</v>
      </c>
      <c r="E8" s="22" t="n">
        <v>3000000</v>
      </c>
      <c r="F8" s="22" t="n">
        <v>3000000</v>
      </c>
      <c r="G8" s="22" t="n">
        <v>3000000</v>
      </c>
      <c r="H8" s="22" t="n">
        <v>3000000</v>
      </c>
      <c r="I8" s="22" t="n">
        <v>3000000</v>
      </c>
      <c r="J8" s="22" t="n">
        <v>3000000</v>
      </c>
      <c r="K8" s="22" t="n">
        <v>3000000</v>
      </c>
      <c r="L8" s="22" t="n">
        <v>3000000</v>
      </c>
      <c r="M8" s="22" t="n">
        <v>3000000</v>
      </c>
      <c r="N8" s="22" t="n">
        <v>3000000</v>
      </c>
      <c r="O8" s="22" t="n">
        <v>3000000</v>
      </c>
      <c r="P8" s="23">
        <f>SUM(C8:O8)</f>
        <v/>
      </c>
    </row>
    <row r="9" ht="24" customHeight="1">
      <c r="B9" s="24" t="inlineStr">
        <is>
          <t xml:space="preserve">  売上合計</t>
        </is>
      </c>
      <c r="C9" s="23">
        <f>C7+C8</f>
        <v/>
      </c>
      <c r="D9" s="23">
        <f>D7+D8</f>
        <v/>
      </c>
      <c r="E9" s="23">
        <f>E7+E8</f>
        <v/>
      </c>
      <c r="F9" s="23">
        <f>F7+F8</f>
        <v/>
      </c>
      <c r="G9" s="23">
        <f>G7+G8</f>
        <v/>
      </c>
      <c r="H9" s="23">
        <f>H7+H8</f>
        <v/>
      </c>
      <c r="I9" s="23">
        <f>I7+I8</f>
        <v/>
      </c>
      <c r="J9" s="23">
        <f>J7+J8</f>
        <v/>
      </c>
      <c r="K9" s="23">
        <f>K7+K8</f>
        <v/>
      </c>
      <c r="L9" s="23">
        <f>L7+L8</f>
        <v/>
      </c>
      <c r="M9" s="23">
        <f>M7+M8</f>
        <v/>
      </c>
      <c r="N9" s="23">
        <f>N7+N8</f>
        <v/>
      </c>
      <c r="O9" s="23">
        <f>O7+O8</f>
        <v/>
      </c>
      <c r="P9" s="23">
        <f>SUM(C9:O9)</f>
        <v/>
      </c>
    </row>
    <row r="10" ht="6" customHeight="1"/>
    <row r="11" ht="24" customHeight="1">
      <c r="B11" s="20" t="inlineStr">
        <is>
          <t>▌ 売上原価</t>
        </is>
      </c>
    </row>
    <row r="12" ht="22" customHeight="1">
      <c r="B12" s="21" t="inlineStr">
        <is>
          <t xml:space="preserve">  新品原価（原価率70%）</t>
        </is>
      </c>
      <c r="C12" s="25">
        <f>ROUND(C7*0.7,0)</f>
        <v/>
      </c>
      <c r="D12" s="25">
        <f>ROUND(D7*0.7,0)</f>
        <v/>
      </c>
      <c r="E12" s="25">
        <f>ROUND(E7*0.7,0)</f>
        <v/>
      </c>
      <c r="F12" s="25">
        <f>ROUND(F7*0.7,0)</f>
        <v/>
      </c>
      <c r="G12" s="25">
        <f>ROUND(G7*0.7,0)</f>
        <v/>
      </c>
      <c r="H12" s="25">
        <f>ROUND(H7*0.7,0)</f>
        <v/>
      </c>
      <c r="I12" s="25">
        <f>ROUND(I7*0.7,0)</f>
        <v/>
      </c>
      <c r="J12" s="25">
        <f>ROUND(J7*0.7,0)</f>
        <v/>
      </c>
      <c r="K12" s="25">
        <f>ROUND(K7*0.7,0)</f>
        <v/>
      </c>
      <c r="L12" s="25">
        <f>ROUND(L7*0.7,0)</f>
        <v/>
      </c>
      <c r="M12" s="25">
        <f>ROUND(M7*0.7,0)</f>
        <v/>
      </c>
      <c r="N12" s="25">
        <f>ROUND(N7*0.7,0)</f>
        <v/>
      </c>
      <c r="O12" s="25">
        <f>ROUND(O7*0.7,0)</f>
        <v/>
      </c>
      <c r="P12" s="23">
        <f>SUM(C12:O12)</f>
        <v/>
      </c>
    </row>
    <row r="13" ht="22" customHeight="1">
      <c r="B13" s="21" t="inlineStr">
        <is>
          <t xml:space="preserve">  中古原価（原価率50%）</t>
        </is>
      </c>
      <c r="C13" s="25">
        <f>ROUND(C8*0.5,0)</f>
        <v/>
      </c>
      <c r="D13" s="25">
        <f>ROUND(D8*0.5,0)</f>
        <v/>
      </c>
      <c r="E13" s="25">
        <f>ROUND(E8*0.5,0)</f>
        <v/>
      </c>
      <c r="F13" s="25">
        <f>ROUND(F8*0.5,0)</f>
        <v/>
      </c>
      <c r="G13" s="25">
        <f>ROUND(G8*0.5,0)</f>
        <v/>
      </c>
      <c r="H13" s="25">
        <f>ROUND(H8*0.5,0)</f>
        <v/>
      </c>
      <c r="I13" s="25">
        <f>ROUND(I8*0.5,0)</f>
        <v/>
      </c>
      <c r="J13" s="25">
        <f>ROUND(J8*0.5,0)</f>
        <v/>
      </c>
      <c r="K13" s="25">
        <f>ROUND(K8*0.5,0)</f>
        <v/>
      </c>
      <c r="L13" s="25">
        <f>ROUND(L8*0.5,0)</f>
        <v/>
      </c>
      <c r="M13" s="25">
        <f>ROUND(M8*0.5,0)</f>
        <v/>
      </c>
      <c r="N13" s="25">
        <f>ROUND(N8*0.5,0)</f>
        <v/>
      </c>
      <c r="O13" s="25">
        <f>ROUND(O8*0.5,0)</f>
        <v/>
      </c>
      <c r="P13" s="23">
        <f>SUM(C13:O13)</f>
        <v/>
      </c>
    </row>
    <row r="14" ht="24" customHeight="1">
      <c r="B14" s="24" t="inlineStr">
        <is>
          <t xml:space="preserve">  原価合計</t>
        </is>
      </c>
      <c r="C14" s="23">
        <f>C12+C13</f>
        <v/>
      </c>
      <c r="D14" s="23">
        <f>D12+D13</f>
        <v/>
      </c>
      <c r="E14" s="23">
        <f>E12+E13</f>
        <v/>
      </c>
      <c r="F14" s="23">
        <f>F12+F13</f>
        <v/>
      </c>
      <c r="G14" s="23">
        <f>G12+G13</f>
        <v/>
      </c>
      <c r="H14" s="23">
        <f>H12+H13</f>
        <v/>
      </c>
      <c r="I14" s="23">
        <f>I12+I13</f>
        <v/>
      </c>
      <c r="J14" s="23">
        <f>J12+J13</f>
        <v/>
      </c>
      <c r="K14" s="23">
        <f>K12+K13</f>
        <v/>
      </c>
      <c r="L14" s="23">
        <f>L12+L13</f>
        <v/>
      </c>
      <c r="M14" s="23">
        <f>M12+M13</f>
        <v/>
      </c>
      <c r="N14" s="23">
        <f>N12+N13</f>
        <v/>
      </c>
      <c r="O14" s="23">
        <f>O12+O13</f>
        <v/>
      </c>
      <c r="P14" s="23">
        <f>SUM(C14:O14)</f>
        <v/>
      </c>
    </row>
    <row r="15" ht="6" customHeight="1"/>
    <row r="16" ht="28" customHeight="1">
      <c r="B16" s="26" t="inlineStr">
        <is>
          <t>▌ 売上総利益（粗利）　目標：360万円/月</t>
        </is>
      </c>
      <c r="C16" s="27">
        <f>C9-C14</f>
        <v/>
      </c>
      <c r="D16" s="27">
        <f>D9-D14</f>
        <v/>
      </c>
      <c r="E16" s="27">
        <f>E9-E14</f>
        <v/>
      </c>
      <c r="F16" s="27">
        <f>F9-F14</f>
        <v/>
      </c>
      <c r="G16" s="27">
        <f>G9-G14</f>
        <v/>
      </c>
      <c r="H16" s="27">
        <f>H9-H14</f>
        <v/>
      </c>
      <c r="I16" s="27">
        <f>I9-I14</f>
        <v/>
      </c>
      <c r="J16" s="27">
        <f>J9-J14</f>
        <v/>
      </c>
      <c r="K16" s="27">
        <f>K9-K14</f>
        <v/>
      </c>
      <c r="L16" s="27">
        <f>L9-L14</f>
        <v/>
      </c>
      <c r="M16" s="27">
        <f>M9-M14</f>
        <v/>
      </c>
      <c r="N16" s="27">
        <f>N9-N14</f>
        <v/>
      </c>
      <c r="O16" s="27">
        <f>O9-O14</f>
        <v/>
      </c>
      <c r="P16" s="28">
        <f>SUM(C16:O16)</f>
        <v/>
      </c>
    </row>
    <row r="17" ht="6" customHeight="1"/>
    <row r="18" ht="24" customHeight="1">
      <c r="B18" s="20" t="inlineStr">
        <is>
          <t>▌ 販売管理費　※詳細内訳は「販管費内訳」シート参照</t>
        </is>
      </c>
    </row>
    <row r="19" ht="22" customHeight="1">
      <c r="B19" s="21" t="inlineStr">
        <is>
          <t xml:space="preserve">  地代家賃</t>
        </is>
      </c>
      <c r="C19" s="22">
        <f>'販管費内訳'!D8</f>
        <v/>
      </c>
      <c r="D19" s="22">
        <f>'販管費内訳'!E8</f>
        <v/>
      </c>
      <c r="E19" s="22">
        <f>'販管費内訳'!F8</f>
        <v/>
      </c>
      <c r="F19" s="22">
        <f>'販管費内訳'!G8</f>
        <v/>
      </c>
      <c r="G19" s="22">
        <f>'販管費内訳'!H8</f>
        <v/>
      </c>
      <c r="H19" s="22">
        <f>'販管費内訳'!I8</f>
        <v/>
      </c>
      <c r="I19" s="22">
        <f>'販管費内訳'!J8</f>
        <v/>
      </c>
      <c r="J19" s="22">
        <f>'販管費内訳'!K8</f>
        <v/>
      </c>
      <c r="K19" s="22">
        <f>'販管費内訳'!L8</f>
        <v/>
      </c>
      <c r="L19" s="22">
        <f>'販管費内訳'!M8</f>
        <v/>
      </c>
      <c r="M19" s="22">
        <f>'販管費内訳'!N8</f>
        <v/>
      </c>
      <c r="N19" s="22">
        <f>'販管費内訳'!O8</f>
        <v/>
      </c>
      <c r="O19" s="22">
        <f>'販管費内訳'!P8</f>
        <v/>
      </c>
      <c r="P19" s="23">
        <f>SUM(C19:O19)</f>
        <v/>
      </c>
    </row>
    <row r="20" ht="22" customHeight="1">
      <c r="B20" s="21" t="inlineStr">
        <is>
          <t xml:space="preserve">  人件費（正社員）</t>
        </is>
      </c>
      <c r="C20" s="22">
        <f>'販管費内訳'!D14</f>
        <v/>
      </c>
      <c r="D20" s="22">
        <f>'販管費内訳'!E14</f>
        <v/>
      </c>
      <c r="E20" s="22">
        <f>'販管費内訳'!F14</f>
        <v/>
      </c>
      <c r="F20" s="22">
        <f>'販管費内訳'!G14</f>
        <v/>
      </c>
      <c r="G20" s="22">
        <f>'販管費内訳'!H14</f>
        <v/>
      </c>
      <c r="H20" s="22">
        <f>'販管費内訳'!I14</f>
        <v/>
      </c>
      <c r="I20" s="22">
        <f>'販管費内訳'!J14</f>
        <v/>
      </c>
      <c r="J20" s="22">
        <f>'販管費内訳'!K14</f>
        <v/>
      </c>
      <c r="K20" s="22">
        <f>'販管費内訳'!L14</f>
        <v/>
      </c>
      <c r="L20" s="22">
        <f>'販管費内訳'!M14</f>
        <v/>
      </c>
      <c r="M20" s="22">
        <f>'販管費内訳'!N14</f>
        <v/>
      </c>
      <c r="N20" s="22">
        <f>'販管費内訳'!O14</f>
        <v/>
      </c>
      <c r="O20" s="22">
        <f>'販管費内訳'!P14</f>
        <v/>
      </c>
      <c r="P20" s="23">
        <f>SUM(C20:O20)</f>
        <v/>
      </c>
    </row>
    <row r="21" ht="22" customHeight="1">
      <c r="B21" s="21" t="inlineStr">
        <is>
          <t xml:space="preserve">  人件費（アルバイト）</t>
        </is>
      </c>
      <c r="C21" s="22">
        <f>'販管費内訳'!D19</f>
        <v/>
      </c>
      <c r="D21" s="22">
        <f>'販管費内訳'!E19</f>
        <v/>
      </c>
      <c r="E21" s="22">
        <f>'販管費内訳'!F19</f>
        <v/>
      </c>
      <c r="F21" s="22">
        <f>'販管費内訳'!G19</f>
        <v/>
      </c>
      <c r="G21" s="22">
        <f>'販管費内訳'!H19</f>
        <v/>
      </c>
      <c r="H21" s="22">
        <f>'販管費内訳'!I19</f>
        <v/>
      </c>
      <c r="I21" s="22">
        <f>'販管費内訳'!J19</f>
        <v/>
      </c>
      <c r="J21" s="22">
        <f>'販管費内訳'!K19</f>
        <v/>
      </c>
      <c r="K21" s="22">
        <f>'販管費内訳'!L19</f>
        <v/>
      </c>
      <c r="L21" s="22">
        <f>'販管費内訳'!M19</f>
        <v/>
      </c>
      <c r="M21" s="22">
        <f>'販管費内訳'!N19</f>
        <v/>
      </c>
      <c r="N21" s="22">
        <f>'販管費内訳'!O19</f>
        <v/>
      </c>
      <c r="O21" s="22">
        <f>'販管費内訳'!P19</f>
        <v/>
      </c>
      <c r="P21" s="23">
        <f>SUM(C21:O21)</f>
        <v/>
      </c>
    </row>
    <row r="22" ht="22" customHeight="1">
      <c r="B22" s="21" t="inlineStr">
        <is>
          <t xml:space="preserve">  広告宣伝費・イベント費</t>
        </is>
      </c>
      <c r="C22" s="22">
        <f>'販管費内訳'!D25</f>
        <v/>
      </c>
      <c r="D22" s="22">
        <f>'販管費内訳'!E25</f>
        <v/>
      </c>
      <c r="E22" s="22">
        <f>'販管費内訳'!F25</f>
        <v/>
      </c>
      <c r="F22" s="22">
        <f>'販管費内訳'!G25</f>
        <v/>
      </c>
      <c r="G22" s="22">
        <f>'販管費内訳'!H25</f>
        <v/>
      </c>
      <c r="H22" s="22">
        <f>'販管費内訳'!I25</f>
        <v/>
      </c>
      <c r="I22" s="22">
        <f>'販管費内訳'!J25</f>
        <v/>
      </c>
      <c r="J22" s="22">
        <f>'販管費内訳'!K25</f>
        <v/>
      </c>
      <c r="K22" s="22">
        <f>'販管費内訳'!L25</f>
        <v/>
      </c>
      <c r="L22" s="22">
        <f>'販管費内訳'!M25</f>
        <v/>
      </c>
      <c r="M22" s="22">
        <f>'販管費内訳'!N25</f>
        <v/>
      </c>
      <c r="N22" s="22">
        <f>'販管費内訳'!O25</f>
        <v/>
      </c>
      <c r="O22" s="22">
        <f>'販管費内訳'!P25</f>
        <v/>
      </c>
      <c r="P22" s="23">
        <f>SUM(C22:O22)</f>
        <v/>
      </c>
    </row>
    <row r="23" ht="22" customHeight="1">
      <c r="B23" s="21" t="inlineStr">
        <is>
          <t xml:space="preserve">  EC決済手数料</t>
        </is>
      </c>
      <c r="C23" s="22">
        <f>'販管費内訳'!D30</f>
        <v/>
      </c>
      <c r="D23" s="22">
        <f>'販管費内訳'!E30</f>
        <v/>
      </c>
      <c r="E23" s="22">
        <f>'販管費内訳'!F30</f>
        <v/>
      </c>
      <c r="F23" s="22">
        <f>'販管費内訳'!G30</f>
        <v/>
      </c>
      <c r="G23" s="22">
        <f>'販管費内訳'!H30</f>
        <v/>
      </c>
      <c r="H23" s="22">
        <f>'販管費内訳'!I30</f>
        <v/>
      </c>
      <c r="I23" s="22">
        <f>'販管費内訳'!J30</f>
        <v/>
      </c>
      <c r="J23" s="22">
        <f>'販管費内訳'!K30</f>
        <v/>
      </c>
      <c r="K23" s="22">
        <f>'販管費内訳'!L30</f>
        <v/>
      </c>
      <c r="L23" s="22">
        <f>'販管費内訳'!M30</f>
        <v/>
      </c>
      <c r="M23" s="22">
        <f>'販管費内訳'!N30</f>
        <v/>
      </c>
      <c r="N23" s="22">
        <f>'販管費内訳'!O30</f>
        <v/>
      </c>
      <c r="O23" s="22">
        <f>'販管費内訳'!P30</f>
        <v/>
      </c>
      <c r="P23" s="23">
        <f>SUM(C23:O23)</f>
        <v/>
      </c>
    </row>
    <row r="24" ht="22" customHeight="1">
      <c r="B24" s="21" t="inlineStr">
        <is>
          <t xml:space="preserve">  荷造運賃</t>
        </is>
      </c>
      <c r="C24" s="22">
        <f>'販管費内訳'!D35</f>
        <v/>
      </c>
      <c r="D24" s="22">
        <f>'販管費内訳'!E35</f>
        <v/>
      </c>
      <c r="E24" s="22">
        <f>'販管費内訳'!F35</f>
        <v/>
      </c>
      <c r="F24" s="22">
        <f>'販管費内訳'!G35</f>
        <v/>
      </c>
      <c r="G24" s="22">
        <f>'販管費内訳'!H35</f>
        <v/>
      </c>
      <c r="H24" s="22">
        <f>'販管費内訳'!I35</f>
        <v/>
      </c>
      <c r="I24" s="22">
        <f>'販管費内訳'!J35</f>
        <v/>
      </c>
      <c r="J24" s="22">
        <f>'販管費内訳'!K35</f>
        <v/>
      </c>
      <c r="K24" s="22">
        <f>'販管費内訳'!L35</f>
        <v/>
      </c>
      <c r="L24" s="22">
        <f>'販管費内訳'!M35</f>
        <v/>
      </c>
      <c r="M24" s="22">
        <f>'販管費内訳'!N35</f>
        <v/>
      </c>
      <c r="N24" s="22">
        <f>'販管費内訳'!O35</f>
        <v/>
      </c>
      <c r="O24" s="22">
        <f>'販管費内訳'!P35</f>
        <v/>
      </c>
      <c r="P24" s="23">
        <f>SUM(C24:O24)</f>
        <v/>
      </c>
    </row>
    <row r="25" ht="22" customHeight="1">
      <c r="B25" s="21" t="inlineStr">
        <is>
          <t xml:space="preserve">  水道光熱費・システム・その他</t>
        </is>
      </c>
      <c r="C25" s="22">
        <f>'販管費内訳'!D43</f>
        <v/>
      </c>
      <c r="D25" s="22">
        <f>'販管費内訳'!E43</f>
        <v/>
      </c>
      <c r="E25" s="22">
        <f>'販管費内訳'!F43</f>
        <v/>
      </c>
      <c r="F25" s="22">
        <f>'販管費内訳'!G43</f>
        <v/>
      </c>
      <c r="G25" s="22">
        <f>'販管費内訳'!H43</f>
        <v/>
      </c>
      <c r="H25" s="22">
        <f>'販管費内訳'!I43</f>
        <v/>
      </c>
      <c r="I25" s="22">
        <f>'販管費内訳'!J43</f>
        <v/>
      </c>
      <c r="J25" s="22">
        <f>'販管費内訳'!K43</f>
        <v/>
      </c>
      <c r="K25" s="22">
        <f>'販管費内訳'!L43</f>
        <v/>
      </c>
      <c r="L25" s="22">
        <f>'販管費内訳'!M43</f>
        <v/>
      </c>
      <c r="M25" s="22">
        <f>'販管費内訳'!N43</f>
        <v/>
      </c>
      <c r="N25" s="22">
        <f>'販管費内訳'!O43</f>
        <v/>
      </c>
      <c r="O25" s="22">
        <f>'販管費内訳'!P43</f>
        <v/>
      </c>
      <c r="P25" s="23">
        <f>SUM(C25:O25)</f>
        <v/>
      </c>
    </row>
    <row r="26" ht="24" customHeight="1">
      <c r="B26" s="24" t="inlineStr">
        <is>
          <t xml:space="preserve">  販管費合計</t>
        </is>
      </c>
      <c r="C26" s="23">
        <f>C19+C20+C21+C22+C23+C24+C25</f>
        <v/>
      </c>
      <c r="D26" s="23">
        <f>D19+D20+D21+D22+D23+D24+D25</f>
        <v/>
      </c>
      <c r="E26" s="23">
        <f>E19+E20+E21+E22+E23+E24+E25</f>
        <v/>
      </c>
      <c r="F26" s="23">
        <f>F19+F20+F21+F22+F23+F24+F25</f>
        <v/>
      </c>
      <c r="G26" s="23">
        <f>G19+G20+G21+G22+G23+G24+G25</f>
        <v/>
      </c>
      <c r="H26" s="23">
        <f>H19+H20+H21+H22+H23+H24+H25</f>
        <v/>
      </c>
      <c r="I26" s="23">
        <f>I19+I20+I21+I22+I23+I24+I25</f>
        <v/>
      </c>
      <c r="J26" s="23">
        <f>J19+J20+J21+J22+J23+J24+J25</f>
        <v/>
      </c>
      <c r="K26" s="23">
        <f>K19+K20+K21+K22+K23+K24+K25</f>
        <v/>
      </c>
      <c r="L26" s="23">
        <f>L19+L20+L21+L22+L23+L24+L25</f>
        <v/>
      </c>
      <c r="M26" s="23">
        <f>M19+M20+M21+M22+M23+M24+M25</f>
        <v/>
      </c>
      <c r="N26" s="23">
        <f>N19+N20+N21+N22+N23+N24+N25</f>
        <v/>
      </c>
      <c r="O26" s="23">
        <f>O19+O20+O21+O22+O23+O24+O25</f>
        <v/>
      </c>
      <c r="P26" s="23">
        <f>SUM(C26:O26)</f>
        <v/>
      </c>
    </row>
    <row r="27" ht="6" customHeight="1"/>
    <row r="28" ht="28" customHeight="1">
      <c r="B28" s="26" t="inlineStr">
        <is>
          <t>▌ 営業利益　★目標：200万円/月</t>
        </is>
      </c>
      <c r="C28" s="27">
        <f>C16-C26</f>
        <v/>
      </c>
      <c r="D28" s="27">
        <f>D16-D26</f>
        <v/>
      </c>
      <c r="E28" s="27">
        <f>E16-E26</f>
        <v/>
      </c>
      <c r="F28" s="27">
        <f>F16-F26</f>
        <v/>
      </c>
      <c r="G28" s="27">
        <f>G16-G26</f>
        <v/>
      </c>
      <c r="H28" s="27">
        <f>H16-H26</f>
        <v/>
      </c>
      <c r="I28" s="27">
        <f>I16-I26</f>
        <v/>
      </c>
      <c r="J28" s="27">
        <f>J16-J26</f>
        <v/>
      </c>
      <c r="K28" s="27">
        <f>K16-K26</f>
        <v/>
      </c>
      <c r="L28" s="27">
        <f>L16-L26</f>
        <v/>
      </c>
      <c r="M28" s="27">
        <f>M16-M26</f>
        <v/>
      </c>
      <c r="N28" s="27">
        <f>N16-N26</f>
        <v/>
      </c>
      <c r="O28" s="27">
        <f>O16-O26</f>
        <v/>
      </c>
      <c r="P28" s="28">
        <f>SUM(C28:O28)</f>
        <v/>
      </c>
    </row>
    <row r="29" ht="6" customHeight="1"/>
    <row r="30" ht="20" customHeight="1">
      <c r="B30" s="29" t="inlineStr">
        <is>
          <t xml:space="preserve">  粗利率（%）</t>
        </is>
      </c>
      <c r="C30" s="30">
        <f>IFERROR(C16/C9*100,0)</f>
        <v/>
      </c>
      <c r="D30" s="30">
        <f>IFERROR(D16/D9*100,0)</f>
        <v/>
      </c>
      <c r="E30" s="30">
        <f>IFERROR(E16/E9*100,0)</f>
        <v/>
      </c>
      <c r="F30" s="30">
        <f>IFERROR(F16/F9*100,0)</f>
        <v/>
      </c>
      <c r="G30" s="30">
        <f>IFERROR(G16/G9*100,0)</f>
        <v/>
      </c>
      <c r="H30" s="30">
        <f>IFERROR(H16/H9*100,0)</f>
        <v/>
      </c>
      <c r="I30" s="30">
        <f>IFERROR(I16/I9*100,0)</f>
        <v/>
      </c>
      <c r="J30" s="30">
        <f>IFERROR(J16/J9*100,0)</f>
        <v/>
      </c>
      <c r="K30" s="30">
        <f>IFERROR(K16/K9*100,0)</f>
        <v/>
      </c>
      <c r="L30" s="30">
        <f>IFERROR(L16/L9*100,0)</f>
        <v/>
      </c>
      <c r="M30" s="30">
        <f>IFERROR(M16/M9*100,0)</f>
        <v/>
      </c>
      <c r="N30" s="30">
        <f>IFERROR(N16/N9*100,0)</f>
        <v/>
      </c>
      <c r="O30" s="30">
        <f>IFERROR(O16/O9*100,0)</f>
        <v/>
      </c>
      <c r="P30" s="31">
        <f>IFERROR(P16/P9*100,0)</f>
        <v/>
      </c>
    </row>
    <row r="31" ht="20" customHeight="1">
      <c r="B31" s="32" t="inlineStr">
        <is>
          <t xml:space="preserve">  営業利益率（%）</t>
        </is>
      </c>
      <c r="C31" s="33">
        <f>IFERROR(C28/C9*100,0)</f>
        <v/>
      </c>
      <c r="D31" s="33">
        <f>IFERROR(D28/D9*100,0)</f>
        <v/>
      </c>
      <c r="E31" s="33">
        <f>IFERROR(E28/E9*100,0)</f>
        <v/>
      </c>
      <c r="F31" s="33">
        <f>IFERROR(F28/F9*100,0)</f>
        <v/>
      </c>
      <c r="G31" s="33">
        <f>IFERROR(G28/G9*100,0)</f>
        <v/>
      </c>
      <c r="H31" s="33">
        <f>IFERROR(H28/H9*100,0)</f>
        <v/>
      </c>
      <c r="I31" s="33">
        <f>IFERROR(I28/I9*100,0)</f>
        <v/>
      </c>
      <c r="J31" s="33">
        <f>IFERROR(J28/J9*100,0)</f>
        <v/>
      </c>
      <c r="K31" s="33">
        <f>IFERROR(K28/K9*100,0)</f>
        <v/>
      </c>
      <c r="L31" s="33">
        <f>IFERROR(L28/L9*100,0)</f>
        <v/>
      </c>
      <c r="M31" s="33">
        <f>IFERROR(M28/M9*100,0)</f>
        <v/>
      </c>
      <c r="N31" s="33">
        <f>IFERROR(N28/N9*100,0)</f>
        <v/>
      </c>
      <c r="O31" s="33">
        <f>IFERROR(O28/O9*100,0)</f>
        <v/>
      </c>
      <c r="P31" s="34">
        <f>IFERROR(P28/P9*100,0)</f>
        <v/>
      </c>
    </row>
  </sheetData>
  <mergeCells count="5">
    <mergeCell ref="B11:P11"/>
    <mergeCell ref="B6:P6"/>
    <mergeCell ref="B2:P2"/>
    <mergeCell ref="B3:P3"/>
    <mergeCell ref="B18:P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Q46"/>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10" customHeight="1"/>
    <row r="2" ht="40" customHeight="1">
      <c r="B2" s="15" t="inlineStr">
        <is>
          <t>販管費内訳　詳細シート</t>
        </is>
      </c>
    </row>
    <row r="3" ht="20" customHeight="1">
      <c r="B3" s="16" t="inlineStr">
        <is>
          <t>各費目の内訳を入力 → PLシートの合計行に自動反映　｜　単位：円</t>
        </is>
      </c>
    </row>
    <row r="4" ht="10" customHeight="1"/>
    <row r="5" ht="28" customHeight="1">
      <c r="B5" s="17" t="inlineStr">
        <is>
          <t>費目（内訳）</t>
        </is>
      </c>
      <c r="C5" s="18" t="inlineStr">
        <is>
          <t>PL科目</t>
        </is>
      </c>
      <c r="D5" s="18" t="inlineStr">
        <is>
          <t>2026年7月</t>
        </is>
      </c>
      <c r="E5" s="18" t="inlineStr">
        <is>
          <t>2026年8月</t>
        </is>
      </c>
      <c r="F5" s="18" t="inlineStr">
        <is>
          <t>2026年9月</t>
        </is>
      </c>
      <c r="G5" s="18" t="inlineStr">
        <is>
          <t>2026年10月</t>
        </is>
      </c>
      <c r="H5" s="18" t="inlineStr">
        <is>
          <t>2026年11月</t>
        </is>
      </c>
      <c r="I5" s="18" t="inlineStr">
        <is>
          <t>2026年12月</t>
        </is>
      </c>
      <c r="J5" s="18" t="inlineStr">
        <is>
          <t>2027年1月</t>
        </is>
      </c>
      <c r="K5" s="18" t="inlineStr">
        <is>
          <t>2027年2月</t>
        </is>
      </c>
      <c r="L5" s="18" t="inlineStr">
        <is>
          <t>2027年3月</t>
        </is>
      </c>
      <c r="M5" s="18" t="inlineStr">
        <is>
          <t>2027年4月</t>
        </is>
      </c>
      <c r="N5" s="18" t="inlineStr">
        <is>
          <t>2027年5月</t>
        </is>
      </c>
      <c r="O5" s="18" t="inlineStr">
        <is>
          <t>2027年6月</t>
        </is>
      </c>
      <c r="P5" s="18" t="inlineStr">
        <is>
          <t>2027年7月</t>
        </is>
      </c>
      <c r="Q5" s="19" t="inlineStr">
        <is>
          <t>年間合計</t>
        </is>
      </c>
    </row>
    <row r="6" ht="22" customHeight="1">
      <c r="B6" s="35" t="inlineStr">
        <is>
          <t>▌ 地代家賃</t>
        </is>
      </c>
    </row>
    <row r="7" ht="20" customHeight="1">
      <c r="B7" s="21" t="inlineStr">
        <is>
          <t xml:space="preserve">    倉庫賃料</t>
        </is>
      </c>
      <c r="C7" s="36" t="n"/>
      <c r="D7" s="37" t="n">
        <v>50000</v>
      </c>
      <c r="E7" s="37" t="n">
        <v>50000</v>
      </c>
      <c r="F7" s="37" t="n">
        <v>50000</v>
      </c>
      <c r="G7" s="37" t="n">
        <v>50000</v>
      </c>
      <c r="H7" s="37" t="n">
        <v>50000</v>
      </c>
      <c r="I7" s="37" t="n">
        <v>50000</v>
      </c>
      <c r="J7" s="37" t="n">
        <v>50000</v>
      </c>
      <c r="K7" s="37" t="n">
        <v>50000</v>
      </c>
      <c r="L7" s="37" t="n">
        <v>50000</v>
      </c>
      <c r="M7" s="37" t="n">
        <v>50000</v>
      </c>
      <c r="N7" s="37" t="n">
        <v>50000</v>
      </c>
      <c r="O7" s="37" t="n">
        <v>50000</v>
      </c>
      <c r="P7" s="37" t="n">
        <v>50000</v>
      </c>
      <c r="Q7" s="23">
        <f>SUM(D7:P7)</f>
        <v/>
      </c>
    </row>
    <row r="8" ht="24" customHeight="1">
      <c r="B8" s="24" t="inlineStr">
        <is>
          <t xml:space="preserve">  地代家賃　計  ←  PLシートの「地代家賃」に連動</t>
        </is>
      </c>
      <c r="C8" s="38" t="inlineStr">
        <is>
          <t>地代家賃</t>
        </is>
      </c>
      <c r="D8" s="23">
        <f>D7+D7</f>
        <v/>
      </c>
      <c r="E8" s="23">
        <f>E7+E7</f>
        <v/>
      </c>
      <c r="F8" s="23">
        <f>F7+F7</f>
        <v/>
      </c>
      <c r="G8" s="23">
        <f>G7+G7</f>
        <v/>
      </c>
      <c r="H8" s="23">
        <f>H7+H7</f>
        <v/>
      </c>
      <c r="I8" s="23">
        <f>I7+I7</f>
        <v/>
      </c>
      <c r="J8" s="23">
        <f>J7+J7</f>
        <v/>
      </c>
      <c r="K8" s="23">
        <f>K7+K7</f>
        <v/>
      </c>
      <c r="L8" s="23">
        <f>L7+L7</f>
        <v/>
      </c>
      <c r="M8" s="23">
        <f>M7+M7</f>
        <v/>
      </c>
      <c r="N8" s="23">
        <f>N7+N7</f>
        <v/>
      </c>
      <c r="O8" s="23">
        <f>O7+O7</f>
        <v/>
      </c>
      <c r="P8" s="23">
        <f>P7+P7</f>
        <v/>
      </c>
      <c r="Q8" s="39">
        <f>SUM(D8:P8)</f>
        <v/>
      </c>
    </row>
    <row r="9" ht="6" customHeight="1"/>
    <row r="10" ht="22" customHeight="1">
      <c r="B10" s="35" t="inlineStr">
        <is>
          <t>▌ 人件費（正社員）</t>
        </is>
      </c>
    </row>
    <row r="11" ht="20" customHeight="1">
      <c r="B11" s="21" t="inlineStr">
        <is>
          <t xml:space="preserve">    正社員①　基本給</t>
        </is>
      </c>
      <c r="C11" s="36" t="n"/>
      <c r="D11" s="37" t="n">
        <v>400000</v>
      </c>
      <c r="E11" s="37" t="n">
        <v>400000</v>
      </c>
      <c r="F11" s="37" t="n">
        <v>400000</v>
      </c>
      <c r="G11" s="37" t="n">
        <v>400000</v>
      </c>
      <c r="H11" s="37" t="n">
        <v>400000</v>
      </c>
      <c r="I11" s="37" t="n">
        <v>400000</v>
      </c>
      <c r="J11" s="37" t="n">
        <v>400000</v>
      </c>
      <c r="K11" s="37" t="n">
        <v>400000</v>
      </c>
      <c r="L11" s="37" t="n">
        <v>400000</v>
      </c>
      <c r="M11" s="37" t="n">
        <v>400000</v>
      </c>
      <c r="N11" s="37" t="n">
        <v>400000</v>
      </c>
      <c r="O11" s="37" t="n">
        <v>400000</v>
      </c>
      <c r="P11" s="37" t="n">
        <v>400000</v>
      </c>
      <c r="Q11" s="23">
        <f>SUM(D11:P11)</f>
        <v/>
      </c>
    </row>
    <row r="12" ht="20" customHeight="1">
      <c r="B12" s="21" t="inlineStr">
        <is>
          <t xml:space="preserve">    正社員②　基本給</t>
        </is>
      </c>
      <c r="C12" s="36" t="n"/>
      <c r="D12" s="37" t="n">
        <v>250000</v>
      </c>
      <c r="E12" s="37" t="n">
        <v>250000</v>
      </c>
      <c r="F12" s="37" t="n">
        <v>250000</v>
      </c>
      <c r="G12" s="37" t="n">
        <v>250000</v>
      </c>
      <c r="H12" s="37" t="n">
        <v>250000</v>
      </c>
      <c r="I12" s="37" t="n">
        <v>250000</v>
      </c>
      <c r="J12" s="37" t="n">
        <v>250000</v>
      </c>
      <c r="K12" s="37" t="n">
        <v>250000</v>
      </c>
      <c r="L12" s="37" t="n">
        <v>250000</v>
      </c>
      <c r="M12" s="37" t="n">
        <v>250000</v>
      </c>
      <c r="N12" s="37" t="n">
        <v>250000</v>
      </c>
      <c r="O12" s="37" t="n">
        <v>250000</v>
      </c>
      <c r="P12" s="37" t="n">
        <v>250000</v>
      </c>
      <c r="Q12" s="23">
        <f>SUM(D12:P12)</f>
        <v/>
      </c>
    </row>
    <row r="13" ht="20" customHeight="1">
      <c r="B13" s="21" t="inlineStr">
        <is>
          <t xml:space="preserve">    社会保険料（会社負担）</t>
        </is>
      </c>
      <c r="C13" s="36" t="n"/>
      <c r="D13" s="37" t="n">
        <v>110000</v>
      </c>
      <c r="E13" s="37" t="n">
        <v>110000</v>
      </c>
      <c r="F13" s="37" t="n">
        <v>110000</v>
      </c>
      <c r="G13" s="37" t="n">
        <v>110000</v>
      </c>
      <c r="H13" s="37" t="n">
        <v>110000</v>
      </c>
      <c r="I13" s="37" t="n">
        <v>110000</v>
      </c>
      <c r="J13" s="37" t="n">
        <v>110000</v>
      </c>
      <c r="K13" s="37" t="n">
        <v>110000</v>
      </c>
      <c r="L13" s="37" t="n">
        <v>110000</v>
      </c>
      <c r="M13" s="37" t="n">
        <v>110000</v>
      </c>
      <c r="N13" s="37" t="n">
        <v>110000</v>
      </c>
      <c r="O13" s="37" t="n">
        <v>110000</v>
      </c>
      <c r="P13" s="37" t="n">
        <v>110000</v>
      </c>
      <c r="Q13" s="23">
        <f>SUM(D13:P13)</f>
        <v/>
      </c>
    </row>
    <row r="14" ht="24" customHeight="1">
      <c r="B14" s="24" t="inlineStr">
        <is>
          <t xml:space="preserve">  人件費（正社員）　計  ←  PLシートの「人件費（正社員）」に連動</t>
        </is>
      </c>
      <c r="C14" s="38" t="inlineStr">
        <is>
          <t>人件費（正社員）</t>
        </is>
      </c>
      <c r="D14" s="23">
        <f>D11+D12+D13</f>
        <v/>
      </c>
      <c r="E14" s="23">
        <f>E11+E12+E13</f>
        <v/>
      </c>
      <c r="F14" s="23">
        <f>F11+F12+F13</f>
        <v/>
      </c>
      <c r="G14" s="23">
        <f>G11+G12+G13</f>
        <v/>
      </c>
      <c r="H14" s="23">
        <f>H11+H12+H13</f>
        <v/>
      </c>
      <c r="I14" s="23">
        <f>I11+I12+I13</f>
        <v/>
      </c>
      <c r="J14" s="23">
        <f>J11+J12+J13</f>
        <v/>
      </c>
      <c r="K14" s="23">
        <f>K11+K12+K13</f>
        <v/>
      </c>
      <c r="L14" s="23">
        <f>L11+L12+L13</f>
        <v/>
      </c>
      <c r="M14" s="23">
        <f>M11+M12+M13</f>
        <v/>
      </c>
      <c r="N14" s="23">
        <f>N11+N12+N13</f>
        <v/>
      </c>
      <c r="O14" s="23">
        <f>O11+O12+O13</f>
        <v/>
      </c>
      <c r="P14" s="23">
        <f>P11+P12+P13</f>
        <v/>
      </c>
      <c r="Q14" s="39">
        <f>SUM(D14:P14)</f>
        <v/>
      </c>
    </row>
    <row r="15" ht="6" customHeight="1"/>
    <row r="16" ht="22" customHeight="1">
      <c r="B16" s="35" t="inlineStr">
        <is>
          <t>▌ 人件費（アルバイト）</t>
        </is>
      </c>
    </row>
    <row r="17" ht="20" customHeight="1">
      <c r="B17" s="21" t="inlineStr">
        <is>
          <t xml:space="preserve">    アルバイト賃金</t>
        </is>
      </c>
      <c r="C17" s="36" t="n"/>
      <c r="D17" s="37" t="n">
        <v>130000</v>
      </c>
      <c r="E17" s="37" t="n">
        <v>130000</v>
      </c>
      <c r="F17" s="37" t="n">
        <v>130000</v>
      </c>
      <c r="G17" s="37" t="n">
        <v>130000</v>
      </c>
      <c r="H17" s="37" t="n">
        <v>130000</v>
      </c>
      <c r="I17" s="37" t="n">
        <v>130000</v>
      </c>
      <c r="J17" s="37" t="n">
        <v>130000</v>
      </c>
      <c r="K17" s="37" t="n">
        <v>130000</v>
      </c>
      <c r="L17" s="37" t="n">
        <v>130000</v>
      </c>
      <c r="M17" s="37" t="n">
        <v>130000</v>
      </c>
      <c r="N17" s="37" t="n">
        <v>130000</v>
      </c>
      <c r="O17" s="37" t="n">
        <v>130000</v>
      </c>
      <c r="P17" s="37" t="n">
        <v>130000</v>
      </c>
      <c r="Q17" s="23">
        <f>SUM(D17:P17)</f>
        <v/>
      </c>
    </row>
    <row r="18" ht="20" customHeight="1">
      <c r="B18" s="21" t="inlineStr">
        <is>
          <t xml:space="preserve">    交通費</t>
        </is>
      </c>
      <c r="C18" s="36" t="n"/>
      <c r="D18" s="37" t="n">
        <v>10000</v>
      </c>
      <c r="E18" s="37" t="n">
        <v>10000</v>
      </c>
      <c r="F18" s="37" t="n">
        <v>10000</v>
      </c>
      <c r="G18" s="37" t="n">
        <v>10000</v>
      </c>
      <c r="H18" s="37" t="n">
        <v>10000</v>
      </c>
      <c r="I18" s="37" t="n">
        <v>10000</v>
      </c>
      <c r="J18" s="37" t="n">
        <v>10000</v>
      </c>
      <c r="K18" s="37" t="n">
        <v>10000</v>
      </c>
      <c r="L18" s="37" t="n">
        <v>10000</v>
      </c>
      <c r="M18" s="37" t="n">
        <v>10000</v>
      </c>
      <c r="N18" s="37" t="n">
        <v>10000</v>
      </c>
      <c r="O18" s="37" t="n">
        <v>10000</v>
      </c>
      <c r="P18" s="37" t="n">
        <v>10000</v>
      </c>
      <c r="Q18" s="23">
        <f>SUM(D18:P18)</f>
        <v/>
      </c>
    </row>
    <row r="19" ht="24" customHeight="1">
      <c r="B19" s="24" t="inlineStr">
        <is>
          <t xml:space="preserve">  人件費（アルバイト）　計  ←  PLシートの「人件費（アルバイト）」に連動</t>
        </is>
      </c>
      <c r="C19" s="38" t="inlineStr">
        <is>
          <t>人件費（アルバイト）</t>
        </is>
      </c>
      <c r="D19" s="23">
        <f>D17+D18</f>
        <v/>
      </c>
      <c r="E19" s="23">
        <f>E17+E18</f>
        <v/>
      </c>
      <c r="F19" s="23">
        <f>F17+F18</f>
        <v/>
      </c>
      <c r="G19" s="23">
        <f>G17+G18</f>
        <v/>
      </c>
      <c r="H19" s="23">
        <f>H17+H18</f>
        <v/>
      </c>
      <c r="I19" s="23">
        <f>I17+I18</f>
        <v/>
      </c>
      <c r="J19" s="23">
        <f>J17+J18</f>
        <v/>
      </c>
      <c r="K19" s="23">
        <f>K17+K18</f>
        <v/>
      </c>
      <c r="L19" s="23">
        <f>L17+L18</f>
        <v/>
      </c>
      <c r="M19" s="23">
        <f>M17+M18</f>
        <v/>
      </c>
      <c r="N19" s="23">
        <f>N17+N18</f>
        <v/>
      </c>
      <c r="O19" s="23">
        <f>O17+O18</f>
        <v/>
      </c>
      <c r="P19" s="23">
        <f>P17+P18</f>
        <v/>
      </c>
      <c r="Q19" s="39">
        <f>SUM(D19:P19)</f>
        <v/>
      </c>
    </row>
    <row r="20" ht="6" customHeight="1"/>
    <row r="21" ht="22" customHeight="1">
      <c r="B21" s="35" t="inlineStr">
        <is>
          <t>▌ 広告宣伝費・イベント費</t>
        </is>
      </c>
    </row>
    <row r="22" ht="20" customHeight="1">
      <c r="B22" s="21" t="inlineStr">
        <is>
          <t xml:space="preserve">    SNS広告（Instagram/X）</t>
        </is>
      </c>
      <c r="C22" s="36" t="n"/>
      <c r="D22" s="37" t="n">
        <v>60000</v>
      </c>
      <c r="E22" s="37" t="n">
        <v>60000</v>
      </c>
      <c r="F22" s="37" t="n">
        <v>60000</v>
      </c>
      <c r="G22" s="37" t="n">
        <v>60000</v>
      </c>
      <c r="H22" s="37" t="n">
        <v>60000</v>
      </c>
      <c r="I22" s="37" t="n">
        <v>60000</v>
      </c>
      <c r="J22" s="37" t="n">
        <v>60000</v>
      </c>
      <c r="K22" s="37" t="n">
        <v>60000</v>
      </c>
      <c r="L22" s="37" t="n">
        <v>60000</v>
      </c>
      <c r="M22" s="37" t="n">
        <v>60000</v>
      </c>
      <c r="N22" s="37" t="n">
        <v>60000</v>
      </c>
      <c r="O22" s="37" t="n">
        <v>60000</v>
      </c>
      <c r="P22" s="37" t="n">
        <v>60000</v>
      </c>
      <c r="Q22" s="23">
        <f>SUM(D22:P22)</f>
        <v/>
      </c>
    </row>
    <row r="23" ht="20" customHeight="1">
      <c r="B23" s="21" t="inlineStr">
        <is>
          <t xml:space="preserve">    イベント出展費</t>
        </is>
      </c>
      <c r="C23" s="36" t="n"/>
      <c r="D23" s="37" t="n">
        <v>50000</v>
      </c>
      <c r="E23" s="37" t="n">
        <v>50000</v>
      </c>
      <c r="F23" s="37" t="n">
        <v>50000</v>
      </c>
      <c r="G23" s="37" t="n">
        <v>50000</v>
      </c>
      <c r="H23" s="37" t="n">
        <v>50000</v>
      </c>
      <c r="I23" s="37" t="n">
        <v>50000</v>
      </c>
      <c r="J23" s="37" t="n">
        <v>50000</v>
      </c>
      <c r="K23" s="37" t="n">
        <v>50000</v>
      </c>
      <c r="L23" s="37" t="n">
        <v>50000</v>
      </c>
      <c r="M23" s="37" t="n">
        <v>50000</v>
      </c>
      <c r="N23" s="37" t="n">
        <v>50000</v>
      </c>
      <c r="O23" s="37" t="n">
        <v>50000</v>
      </c>
      <c r="P23" s="37" t="n">
        <v>50000</v>
      </c>
      <c r="Q23" s="23">
        <f>SUM(D23:P23)</f>
        <v/>
      </c>
    </row>
    <row r="24" ht="20" customHeight="1">
      <c r="B24" s="21" t="inlineStr">
        <is>
          <t xml:space="preserve">    販促物・スリーブ等</t>
        </is>
      </c>
      <c r="C24" s="36" t="n"/>
      <c r="D24" s="37" t="n">
        <v>20000</v>
      </c>
      <c r="E24" s="37" t="n">
        <v>20000</v>
      </c>
      <c r="F24" s="37" t="n">
        <v>20000</v>
      </c>
      <c r="G24" s="37" t="n">
        <v>20000</v>
      </c>
      <c r="H24" s="37" t="n">
        <v>20000</v>
      </c>
      <c r="I24" s="37" t="n">
        <v>20000</v>
      </c>
      <c r="J24" s="37" t="n">
        <v>20000</v>
      </c>
      <c r="K24" s="37" t="n">
        <v>20000</v>
      </c>
      <c r="L24" s="37" t="n">
        <v>20000</v>
      </c>
      <c r="M24" s="37" t="n">
        <v>20000</v>
      </c>
      <c r="N24" s="37" t="n">
        <v>20000</v>
      </c>
      <c r="O24" s="37" t="n">
        <v>20000</v>
      </c>
      <c r="P24" s="37" t="n">
        <v>20000</v>
      </c>
      <c r="Q24" s="23">
        <f>SUM(D24:P24)</f>
        <v/>
      </c>
    </row>
    <row r="25" ht="24" customHeight="1">
      <c r="B25" s="24" t="inlineStr">
        <is>
          <t xml:space="preserve">  広告宣伝費・イベント費　計  ←  PLシートの「広告宣伝費・イベント費」に連動</t>
        </is>
      </c>
      <c r="C25" s="38" t="inlineStr">
        <is>
          <t>広告宣伝費・イベント費</t>
        </is>
      </c>
      <c r="D25" s="23">
        <f>D22+D23+D24</f>
        <v/>
      </c>
      <c r="E25" s="23">
        <f>E22+E23+E24</f>
        <v/>
      </c>
      <c r="F25" s="23">
        <f>F22+F23+F24</f>
        <v/>
      </c>
      <c r="G25" s="23">
        <f>G22+G23+G24</f>
        <v/>
      </c>
      <c r="H25" s="23">
        <f>H22+H23+H24</f>
        <v/>
      </c>
      <c r="I25" s="23">
        <f>I22+I23+I24</f>
        <v/>
      </c>
      <c r="J25" s="23">
        <f>J22+J23+J24</f>
        <v/>
      </c>
      <c r="K25" s="23">
        <f>K22+K23+K24</f>
        <v/>
      </c>
      <c r="L25" s="23">
        <f>L22+L23+L24</f>
        <v/>
      </c>
      <c r="M25" s="23">
        <f>M22+M23+M24</f>
        <v/>
      </c>
      <c r="N25" s="23">
        <f>N22+N23+N24</f>
        <v/>
      </c>
      <c r="O25" s="23">
        <f>O22+O23+O24</f>
        <v/>
      </c>
      <c r="P25" s="23">
        <f>P22+P23+P24</f>
        <v/>
      </c>
      <c r="Q25" s="39">
        <f>SUM(D25:P25)</f>
        <v/>
      </c>
    </row>
    <row r="26" ht="6" customHeight="1"/>
    <row r="27" ht="22" customHeight="1">
      <c r="B27" s="35" t="inlineStr">
        <is>
          <t>▌ EC決済手数料</t>
        </is>
      </c>
    </row>
    <row r="28" ht="20" customHeight="1">
      <c r="B28" s="21" t="inlineStr">
        <is>
          <t xml:space="preserve">    メルカリShops手数料（約1%）</t>
        </is>
      </c>
      <c r="C28" s="36" t="n"/>
      <c r="D28" s="37" t="n">
        <v>70000</v>
      </c>
      <c r="E28" s="37" t="n">
        <v>70000</v>
      </c>
      <c r="F28" s="37" t="n">
        <v>70000</v>
      </c>
      <c r="G28" s="37" t="n">
        <v>70000</v>
      </c>
      <c r="H28" s="37" t="n">
        <v>70000</v>
      </c>
      <c r="I28" s="37" t="n">
        <v>70000</v>
      </c>
      <c r="J28" s="37" t="n">
        <v>70000</v>
      </c>
      <c r="K28" s="37" t="n">
        <v>70000</v>
      </c>
      <c r="L28" s="37" t="n">
        <v>70000</v>
      </c>
      <c r="M28" s="37" t="n">
        <v>70000</v>
      </c>
      <c r="N28" s="37" t="n">
        <v>70000</v>
      </c>
      <c r="O28" s="37" t="n">
        <v>70000</v>
      </c>
      <c r="P28" s="37" t="n">
        <v>70000</v>
      </c>
      <c r="Q28" s="23">
        <f>SUM(D28:P28)</f>
        <v/>
      </c>
    </row>
    <row r="29" ht="20" customHeight="1">
      <c r="B29" s="21" t="inlineStr">
        <is>
          <t xml:space="preserve">    クレジットカード決済手数料（約1%）</t>
        </is>
      </c>
      <c r="C29" s="36" t="n"/>
      <c r="D29" s="37" t="n">
        <v>70000</v>
      </c>
      <c r="E29" s="37" t="n">
        <v>70000</v>
      </c>
      <c r="F29" s="37" t="n">
        <v>70000</v>
      </c>
      <c r="G29" s="37" t="n">
        <v>70000</v>
      </c>
      <c r="H29" s="37" t="n">
        <v>70000</v>
      </c>
      <c r="I29" s="37" t="n">
        <v>70000</v>
      </c>
      <c r="J29" s="37" t="n">
        <v>70000</v>
      </c>
      <c r="K29" s="37" t="n">
        <v>70000</v>
      </c>
      <c r="L29" s="37" t="n">
        <v>70000</v>
      </c>
      <c r="M29" s="37" t="n">
        <v>70000</v>
      </c>
      <c r="N29" s="37" t="n">
        <v>70000</v>
      </c>
      <c r="O29" s="37" t="n">
        <v>70000</v>
      </c>
      <c r="P29" s="37" t="n">
        <v>70000</v>
      </c>
      <c r="Q29" s="23">
        <f>SUM(D29:P29)</f>
        <v/>
      </c>
    </row>
    <row r="30" ht="24" customHeight="1">
      <c r="B30" s="24" t="inlineStr">
        <is>
          <t xml:space="preserve">  EC決済手数料　計  ←  PLシートの「EC決済手数料」に連動</t>
        </is>
      </c>
      <c r="C30" s="38" t="inlineStr">
        <is>
          <t>EC決済手数料</t>
        </is>
      </c>
      <c r="D30" s="23">
        <f>D28+D29</f>
        <v/>
      </c>
      <c r="E30" s="23">
        <f>E28+E29</f>
        <v/>
      </c>
      <c r="F30" s="23">
        <f>F28+F29</f>
        <v/>
      </c>
      <c r="G30" s="23">
        <f>G28+G29</f>
        <v/>
      </c>
      <c r="H30" s="23">
        <f>H28+H29</f>
        <v/>
      </c>
      <c r="I30" s="23">
        <f>I28+I29</f>
        <v/>
      </c>
      <c r="J30" s="23">
        <f>J28+J29</f>
        <v/>
      </c>
      <c r="K30" s="23">
        <f>K28+K29</f>
        <v/>
      </c>
      <c r="L30" s="23">
        <f>L28+L29</f>
        <v/>
      </c>
      <c r="M30" s="23">
        <f>M28+M29</f>
        <v/>
      </c>
      <c r="N30" s="23">
        <f>N28+N29</f>
        <v/>
      </c>
      <c r="O30" s="23">
        <f>O28+O29</f>
        <v/>
      </c>
      <c r="P30" s="23">
        <f>P28+P29</f>
        <v/>
      </c>
      <c r="Q30" s="39">
        <f>SUM(D30:P30)</f>
        <v/>
      </c>
    </row>
    <row r="31" ht="6" customHeight="1"/>
    <row r="32" ht="22" customHeight="1">
      <c r="B32" s="35" t="inlineStr">
        <is>
          <t>▌ 荷造運賃</t>
        </is>
      </c>
    </row>
    <row r="33" ht="20" customHeight="1">
      <c r="B33" s="21" t="inlineStr">
        <is>
          <t xml:space="preserve">    発送資材（段ボール・プチプチ等）</t>
        </is>
      </c>
      <c r="C33" s="36" t="n"/>
      <c r="D33" s="37" t="n">
        <v>30000</v>
      </c>
      <c r="E33" s="37" t="n">
        <v>30000</v>
      </c>
      <c r="F33" s="37" t="n">
        <v>30000</v>
      </c>
      <c r="G33" s="37" t="n">
        <v>30000</v>
      </c>
      <c r="H33" s="37" t="n">
        <v>30000</v>
      </c>
      <c r="I33" s="37" t="n">
        <v>30000</v>
      </c>
      <c r="J33" s="37" t="n">
        <v>30000</v>
      </c>
      <c r="K33" s="37" t="n">
        <v>30000</v>
      </c>
      <c r="L33" s="37" t="n">
        <v>30000</v>
      </c>
      <c r="M33" s="37" t="n">
        <v>30000</v>
      </c>
      <c r="N33" s="37" t="n">
        <v>30000</v>
      </c>
      <c r="O33" s="37" t="n">
        <v>30000</v>
      </c>
      <c r="P33" s="37" t="n">
        <v>30000</v>
      </c>
      <c r="Q33" s="23">
        <f>SUM(D33:P33)</f>
        <v/>
      </c>
    </row>
    <row r="34" ht="20" customHeight="1">
      <c r="B34" s="21" t="inlineStr">
        <is>
          <t xml:space="preserve">    配送費（ヤマト・佐川等）</t>
        </is>
      </c>
      <c r="C34" s="36" t="n"/>
      <c r="D34" s="37" t="n">
        <v>70000</v>
      </c>
      <c r="E34" s="37" t="n">
        <v>70000</v>
      </c>
      <c r="F34" s="37" t="n">
        <v>70000</v>
      </c>
      <c r="G34" s="37" t="n">
        <v>70000</v>
      </c>
      <c r="H34" s="37" t="n">
        <v>70000</v>
      </c>
      <c r="I34" s="37" t="n">
        <v>70000</v>
      </c>
      <c r="J34" s="37" t="n">
        <v>70000</v>
      </c>
      <c r="K34" s="37" t="n">
        <v>70000</v>
      </c>
      <c r="L34" s="37" t="n">
        <v>70000</v>
      </c>
      <c r="M34" s="37" t="n">
        <v>70000</v>
      </c>
      <c r="N34" s="37" t="n">
        <v>70000</v>
      </c>
      <c r="O34" s="37" t="n">
        <v>70000</v>
      </c>
      <c r="P34" s="37" t="n">
        <v>70000</v>
      </c>
      <c r="Q34" s="23">
        <f>SUM(D34:P34)</f>
        <v/>
      </c>
    </row>
    <row r="35" ht="24" customHeight="1">
      <c r="B35" s="24" t="inlineStr">
        <is>
          <t xml:space="preserve">  荷造運賃　計  ←  PLシートの「荷造運賃」に連動</t>
        </is>
      </c>
      <c r="C35" s="38" t="inlineStr">
        <is>
          <t>荷造運賃</t>
        </is>
      </c>
      <c r="D35" s="23">
        <f>D33+D34</f>
        <v/>
      </c>
      <c r="E35" s="23">
        <f>E33+E34</f>
        <v/>
      </c>
      <c r="F35" s="23">
        <f>F33+F34</f>
        <v/>
      </c>
      <c r="G35" s="23">
        <f>G33+G34</f>
        <v/>
      </c>
      <c r="H35" s="23">
        <f>H33+H34</f>
        <v/>
      </c>
      <c r="I35" s="23">
        <f>I33+I34</f>
        <v/>
      </c>
      <c r="J35" s="23">
        <f>J33+J34</f>
        <v/>
      </c>
      <c r="K35" s="23">
        <f>K33+K34</f>
        <v/>
      </c>
      <c r="L35" s="23">
        <f>L33+L34</f>
        <v/>
      </c>
      <c r="M35" s="23">
        <f>M33+M34</f>
        <v/>
      </c>
      <c r="N35" s="23">
        <f>N33+N34</f>
        <v/>
      </c>
      <c r="O35" s="23">
        <f>O33+O34</f>
        <v/>
      </c>
      <c r="P35" s="23">
        <f>P33+P34</f>
        <v/>
      </c>
      <c r="Q35" s="39">
        <f>SUM(D35:P35)</f>
        <v/>
      </c>
    </row>
    <row r="36" ht="6" customHeight="1"/>
    <row r="37" ht="22" customHeight="1">
      <c r="B37" s="35" t="inlineStr">
        <is>
          <t>▌ 水道光熱費・システム・その他</t>
        </is>
      </c>
    </row>
    <row r="38" ht="20" customHeight="1">
      <c r="B38" s="21" t="inlineStr">
        <is>
          <t xml:space="preserve">    電気代</t>
        </is>
      </c>
      <c r="C38" s="36" t="n"/>
      <c r="D38" s="37" t="n">
        <v>30000</v>
      </c>
      <c r="E38" s="37" t="n">
        <v>30000</v>
      </c>
      <c r="F38" s="37" t="n">
        <v>30000</v>
      </c>
      <c r="G38" s="37" t="n">
        <v>30000</v>
      </c>
      <c r="H38" s="37" t="n">
        <v>30000</v>
      </c>
      <c r="I38" s="37" t="n">
        <v>30000</v>
      </c>
      <c r="J38" s="37" t="n">
        <v>30000</v>
      </c>
      <c r="K38" s="37" t="n">
        <v>30000</v>
      </c>
      <c r="L38" s="37" t="n">
        <v>30000</v>
      </c>
      <c r="M38" s="37" t="n">
        <v>30000</v>
      </c>
      <c r="N38" s="37" t="n">
        <v>30000</v>
      </c>
      <c r="O38" s="37" t="n">
        <v>30000</v>
      </c>
      <c r="P38" s="37" t="n">
        <v>30000</v>
      </c>
      <c r="Q38" s="23">
        <f>SUM(D38:P38)</f>
        <v/>
      </c>
    </row>
    <row r="39" ht="20" customHeight="1">
      <c r="B39" s="21" t="inlineStr">
        <is>
          <t xml:space="preserve">    POSシステム（STORES・スマレジ等）</t>
        </is>
      </c>
      <c r="C39" s="36" t="n"/>
      <c r="D39" s="37" t="n">
        <v>15000</v>
      </c>
      <c r="E39" s="37" t="n">
        <v>15000</v>
      </c>
      <c r="F39" s="37" t="n">
        <v>15000</v>
      </c>
      <c r="G39" s="37" t="n">
        <v>15000</v>
      </c>
      <c r="H39" s="37" t="n">
        <v>15000</v>
      </c>
      <c r="I39" s="37" t="n">
        <v>15000</v>
      </c>
      <c r="J39" s="37" t="n">
        <v>15000</v>
      </c>
      <c r="K39" s="37" t="n">
        <v>15000</v>
      </c>
      <c r="L39" s="37" t="n">
        <v>15000</v>
      </c>
      <c r="M39" s="37" t="n">
        <v>15000</v>
      </c>
      <c r="N39" s="37" t="n">
        <v>15000</v>
      </c>
      <c r="O39" s="37" t="n">
        <v>15000</v>
      </c>
      <c r="P39" s="37" t="n">
        <v>15000</v>
      </c>
      <c r="Q39" s="23">
        <f>SUM(D39:P39)</f>
        <v/>
      </c>
    </row>
    <row r="40" ht="20" customHeight="1">
      <c r="B40" s="21" t="inlineStr">
        <is>
          <t xml:space="preserve">    会計ソフト（freee等）</t>
        </is>
      </c>
      <c r="C40" s="36" t="n"/>
      <c r="D40" s="37" t="n">
        <v>5000</v>
      </c>
      <c r="E40" s="37" t="n">
        <v>5000</v>
      </c>
      <c r="F40" s="37" t="n">
        <v>5000</v>
      </c>
      <c r="G40" s="37" t="n">
        <v>5000</v>
      </c>
      <c r="H40" s="37" t="n">
        <v>5000</v>
      </c>
      <c r="I40" s="37" t="n">
        <v>5000</v>
      </c>
      <c r="J40" s="37" t="n">
        <v>5000</v>
      </c>
      <c r="K40" s="37" t="n">
        <v>5000</v>
      </c>
      <c r="L40" s="37" t="n">
        <v>5000</v>
      </c>
      <c r="M40" s="37" t="n">
        <v>5000</v>
      </c>
      <c r="N40" s="37" t="n">
        <v>5000</v>
      </c>
      <c r="O40" s="37" t="n">
        <v>5000</v>
      </c>
      <c r="P40" s="37" t="n">
        <v>5000</v>
      </c>
      <c r="Q40" s="23">
        <f>SUM(D40:P40)</f>
        <v/>
      </c>
    </row>
    <row r="41" ht="20" customHeight="1">
      <c r="B41" s="21" t="inlineStr">
        <is>
          <t xml:space="preserve">    通信費</t>
        </is>
      </c>
      <c r="C41" s="36" t="n"/>
      <c r="D41" s="37" t="n">
        <v>10000</v>
      </c>
      <c r="E41" s="37" t="n">
        <v>10000</v>
      </c>
      <c r="F41" s="37" t="n">
        <v>10000</v>
      </c>
      <c r="G41" s="37" t="n">
        <v>10000</v>
      </c>
      <c r="H41" s="37" t="n">
        <v>10000</v>
      </c>
      <c r="I41" s="37" t="n">
        <v>10000</v>
      </c>
      <c r="J41" s="37" t="n">
        <v>10000</v>
      </c>
      <c r="K41" s="37" t="n">
        <v>10000</v>
      </c>
      <c r="L41" s="37" t="n">
        <v>10000</v>
      </c>
      <c r="M41" s="37" t="n">
        <v>10000</v>
      </c>
      <c r="N41" s="37" t="n">
        <v>10000</v>
      </c>
      <c r="O41" s="37" t="n">
        <v>10000</v>
      </c>
      <c r="P41" s="37" t="n">
        <v>10000</v>
      </c>
      <c r="Q41" s="23">
        <f>SUM(D41:P41)</f>
        <v/>
      </c>
    </row>
    <row r="42" ht="20" customHeight="1">
      <c r="B42" s="21" t="inlineStr">
        <is>
          <t xml:space="preserve">    雑費・消耗品</t>
        </is>
      </c>
      <c r="C42" s="36" t="n"/>
      <c r="D42" s="37" t="n">
        <v>20000</v>
      </c>
      <c r="E42" s="37" t="n">
        <v>20000</v>
      </c>
      <c r="F42" s="37" t="n">
        <v>20000</v>
      </c>
      <c r="G42" s="37" t="n">
        <v>20000</v>
      </c>
      <c r="H42" s="37" t="n">
        <v>20000</v>
      </c>
      <c r="I42" s="37" t="n">
        <v>20000</v>
      </c>
      <c r="J42" s="37" t="n">
        <v>20000</v>
      </c>
      <c r="K42" s="37" t="n">
        <v>20000</v>
      </c>
      <c r="L42" s="37" t="n">
        <v>20000</v>
      </c>
      <c r="M42" s="37" t="n">
        <v>20000</v>
      </c>
      <c r="N42" s="37" t="n">
        <v>20000</v>
      </c>
      <c r="O42" s="37" t="n">
        <v>20000</v>
      </c>
      <c r="P42" s="37" t="n">
        <v>20000</v>
      </c>
      <c r="Q42" s="23">
        <f>SUM(D42:P42)</f>
        <v/>
      </c>
    </row>
    <row r="43" ht="24" customHeight="1">
      <c r="B43" s="24" t="inlineStr">
        <is>
          <t xml:space="preserve">  水道光熱費・システム・その他　計  ←  PLシートの「水道光熱費・システム・その他」に連動</t>
        </is>
      </c>
      <c r="C43" s="38" t="inlineStr">
        <is>
          <t>水道光熱費・システム・その他</t>
        </is>
      </c>
      <c r="D43" s="23">
        <f>D38+D39+D40+D41+D42</f>
        <v/>
      </c>
      <c r="E43" s="23">
        <f>E38+E39+E40+E41+E42</f>
        <v/>
      </c>
      <c r="F43" s="23">
        <f>F38+F39+F40+F41+F42</f>
        <v/>
      </c>
      <c r="G43" s="23">
        <f>G38+G39+G40+G41+G42</f>
        <v/>
      </c>
      <c r="H43" s="23">
        <f>H38+H39+H40+H41+H42</f>
        <v/>
      </c>
      <c r="I43" s="23">
        <f>I38+I39+I40+I41+I42</f>
        <v/>
      </c>
      <c r="J43" s="23">
        <f>J38+J39+J40+J41+J42</f>
        <v/>
      </c>
      <c r="K43" s="23">
        <f>K38+K39+K40+K41+K42</f>
        <v/>
      </c>
      <c r="L43" s="23">
        <f>L38+L39+L40+L41+L42</f>
        <v/>
      </c>
      <c r="M43" s="23">
        <f>M38+M39+M40+M41+M42</f>
        <v/>
      </c>
      <c r="N43" s="23">
        <f>N38+N39+N40+N41+N42</f>
        <v/>
      </c>
      <c r="O43" s="23">
        <f>O38+O39+O40+O41+O42</f>
        <v/>
      </c>
      <c r="P43" s="23">
        <f>P38+P39+P40+P41+P42</f>
        <v/>
      </c>
      <c r="Q43" s="39">
        <f>SUM(D43:P43)</f>
        <v/>
      </c>
    </row>
    <row r="44" ht="6" customHeight="1"/>
    <row r="45" ht="6" customHeight="1"/>
    <row r="46" ht="30" customHeight="1">
      <c r="B46" s="40" t="inlineStr">
        <is>
          <t>▌ 販管費　総合計</t>
        </is>
      </c>
      <c r="C46" s="41" t="inlineStr">
        <is>
          <t>合　計</t>
        </is>
      </c>
      <c r="D46" s="42">
        <f>D8+D14+D19+D25+D30+D35+D43</f>
        <v/>
      </c>
      <c r="E46" s="42">
        <f>E8+E14+E19+E25+E30+E35+E43</f>
        <v/>
      </c>
      <c r="F46" s="42">
        <f>F8+F14+F19+F25+F30+F35+F43</f>
        <v/>
      </c>
      <c r="G46" s="42">
        <f>G8+G14+G19+G25+G30+G35+G43</f>
        <v/>
      </c>
      <c r="H46" s="42">
        <f>H8+H14+H19+H25+H30+H35+H43</f>
        <v/>
      </c>
      <c r="I46" s="42">
        <f>I8+I14+I19+I25+I30+I35+I43</f>
        <v/>
      </c>
      <c r="J46" s="42">
        <f>J8+J14+J19+J25+J30+J35+J43</f>
        <v/>
      </c>
      <c r="K46" s="42">
        <f>K8+K14+K19+K25+K30+K35+K43</f>
        <v/>
      </c>
      <c r="L46" s="42">
        <f>L8+L14+L19+L25+L30+L35+L43</f>
        <v/>
      </c>
      <c r="M46" s="42">
        <f>M8+M14+M19+M25+M30+M35+M43</f>
        <v/>
      </c>
      <c r="N46" s="42">
        <f>N8+N14+N19+N25+N30+N35+N43</f>
        <v/>
      </c>
      <c r="O46" s="42">
        <f>O8+O14+O19+O25+O30+O35+O43</f>
        <v/>
      </c>
      <c r="P46" s="42">
        <f>P8+P14+P19+P25+P30+P35+P43</f>
        <v/>
      </c>
      <c r="Q46" s="43">
        <f>SUM(D46:P46)</f>
        <v/>
      </c>
    </row>
  </sheetData>
  <mergeCells count="9">
    <mergeCell ref="B37:Q37"/>
    <mergeCell ref="B10:Q10"/>
    <mergeCell ref="B32:Q32"/>
    <mergeCell ref="B27:Q27"/>
    <mergeCell ref="B6:Q6"/>
    <mergeCell ref="B21:Q21"/>
    <mergeCell ref="B2:Q2"/>
    <mergeCell ref="B16:Q16"/>
    <mergeCell ref="B3:Q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29"/>
  <sheetViews>
    <sheetView showGridLines="1" workbookViewId="0">
      <selection activeCell="A1" sqref="A1"/>
    </sheetView>
  </sheetViews>
  <sheetFormatPr baseColWidth="8" defaultRowHeight="15"/>
  <cols>
    <col width="3" customWidth="1" min="1" max="1"/>
    <col width="28" customWidth="1" min="2" max="2"/>
    <col width="20" customWidth="1" min="3" max="3"/>
    <col width="20" customWidth="1" min="4" max="4"/>
    <col width="20" customWidth="1" min="5" max="5"/>
    <col width="20" customWidth="1" min="6" max="6"/>
  </cols>
  <sheetData>
    <row r="1" ht="10" customHeight="1"/>
    <row r="2" ht="44" customHeight="1">
      <c r="B2" s="15" t="inlineStr">
        <is>
          <t>ダッシュボード　｜　月次営業利益200万円　達成モニタリング</t>
        </is>
      </c>
    </row>
    <row r="3" ht="22" customHeight="1">
      <c r="B3" s="16" t="inlineStr">
        <is>
          <t>※ 各数値はPLシート・販管費内訳シートと連動しています。数値を変更するとこのシートも自動更新されます。</t>
        </is>
      </c>
    </row>
    <row r="4" ht="10" customHeight="1"/>
    <row r="5" ht="28" customHeight="1">
      <c r="B5" s="44" t="inlineStr">
        <is>
          <t>📊  年間サマリー（13ヶ月合計）</t>
        </is>
      </c>
    </row>
    <row r="6" ht="20" customHeight="1">
      <c r="B6" s="45" t="inlineStr">
        <is>
          <t>年間売上合計</t>
        </is>
      </c>
      <c r="C6" s="46" t="inlineStr">
        <is>
          <t>年間粗利</t>
        </is>
      </c>
      <c r="D6" s="47" t="inlineStr">
        <is>
          <t>年間販管費</t>
        </is>
      </c>
      <c r="E6" s="48" t="inlineStr">
        <is>
          <t>年間営業利益　★</t>
        </is>
      </c>
    </row>
    <row r="7" ht="30" customHeight="1">
      <c r="B7" s="49">
        <f>'月次PL'!P9</f>
        <v/>
      </c>
      <c r="C7" s="50">
        <f>'月次PL'!P16</f>
        <v/>
      </c>
      <c r="D7" s="51">
        <f>'月次PL'!P26</f>
        <v/>
      </c>
      <c r="E7" s="52">
        <f>'月次PL'!P28</f>
        <v/>
      </c>
    </row>
    <row r="8" ht="22" customHeight="1">
      <c r="B8" s="53">
        <f>IFERROR('月次PL'!P9/13,0)</f>
        <v/>
      </c>
      <c r="C8" s="54">
        <f>IFERROR('月次PL'!P16/13,0)</f>
        <v/>
      </c>
      <c r="D8" s="55">
        <f>IFERROR('月次PL'!P26/13,0)</f>
        <v/>
      </c>
      <c r="E8" s="56">
        <f>IFERROR('月次PL'!P28/13,0)</f>
        <v/>
      </c>
    </row>
    <row r="9" ht="6" customHeight="1"/>
    <row r="10" ht="28" customHeight="1">
      <c r="B10" s="57" t="inlineStr">
        <is>
          <t>📅  月次推移　（粗利 / 販管費 / 営業利益）</t>
        </is>
      </c>
    </row>
    <row r="11" ht="22" customHeight="1">
      <c r="B11" s="18" t="inlineStr">
        <is>
          <t>月</t>
        </is>
      </c>
      <c r="C11" s="45" t="inlineStr">
        <is>
          <t>売上合計</t>
        </is>
      </c>
      <c r="D11" s="46" t="inlineStr">
        <is>
          <t>粗利</t>
        </is>
      </c>
      <c r="E11" s="47" t="inlineStr">
        <is>
          <t>販管費</t>
        </is>
      </c>
      <c r="F11" s="48" t="inlineStr">
        <is>
          <t>営業利益</t>
        </is>
      </c>
    </row>
    <row r="12" ht="20" customHeight="1">
      <c r="B12" s="58" t="inlineStr">
        <is>
          <t>2026年7月</t>
        </is>
      </c>
      <c r="C12" s="59">
        <f>'月次PL'!C9</f>
        <v/>
      </c>
      <c r="D12" s="60">
        <f>'月次PL'!C16</f>
        <v/>
      </c>
      <c r="E12" s="61">
        <f>'月次PL'!C26</f>
        <v/>
      </c>
      <c r="F12" s="62">
        <f>'月次PL'!C28</f>
        <v/>
      </c>
    </row>
    <row r="13" ht="20" customHeight="1">
      <c r="B13" s="58" t="inlineStr">
        <is>
          <t>2026年8月</t>
        </is>
      </c>
      <c r="C13" s="59">
        <f>'月次PL'!D9</f>
        <v/>
      </c>
      <c r="D13" s="60">
        <f>'月次PL'!D16</f>
        <v/>
      </c>
      <c r="E13" s="61">
        <f>'月次PL'!D26</f>
        <v/>
      </c>
      <c r="F13" s="62">
        <f>'月次PL'!D28</f>
        <v/>
      </c>
    </row>
    <row r="14" ht="20" customHeight="1">
      <c r="B14" s="58" t="inlineStr">
        <is>
          <t>2026年9月</t>
        </is>
      </c>
      <c r="C14" s="59">
        <f>'月次PL'!E9</f>
        <v/>
      </c>
      <c r="D14" s="60">
        <f>'月次PL'!E16</f>
        <v/>
      </c>
      <c r="E14" s="61">
        <f>'月次PL'!E26</f>
        <v/>
      </c>
      <c r="F14" s="62">
        <f>'月次PL'!E28</f>
        <v/>
      </c>
    </row>
    <row r="15" ht="20" customHeight="1">
      <c r="B15" s="58" t="inlineStr">
        <is>
          <t>2026年10月</t>
        </is>
      </c>
      <c r="C15" s="59">
        <f>'月次PL'!F9</f>
        <v/>
      </c>
      <c r="D15" s="60">
        <f>'月次PL'!F16</f>
        <v/>
      </c>
      <c r="E15" s="61">
        <f>'月次PL'!F26</f>
        <v/>
      </c>
      <c r="F15" s="62">
        <f>'月次PL'!F28</f>
        <v/>
      </c>
    </row>
    <row r="16" ht="20" customHeight="1">
      <c r="B16" s="58" t="inlineStr">
        <is>
          <t>2026年11月</t>
        </is>
      </c>
      <c r="C16" s="59">
        <f>'月次PL'!G9</f>
        <v/>
      </c>
      <c r="D16" s="60">
        <f>'月次PL'!G16</f>
        <v/>
      </c>
      <c r="E16" s="61">
        <f>'月次PL'!G26</f>
        <v/>
      </c>
      <c r="F16" s="62">
        <f>'月次PL'!G28</f>
        <v/>
      </c>
    </row>
    <row r="17" ht="20" customHeight="1">
      <c r="B17" s="58" t="inlineStr">
        <is>
          <t>2026年12月</t>
        </is>
      </c>
      <c r="C17" s="59">
        <f>'月次PL'!H9</f>
        <v/>
      </c>
      <c r="D17" s="60">
        <f>'月次PL'!H16</f>
        <v/>
      </c>
      <c r="E17" s="61">
        <f>'月次PL'!H26</f>
        <v/>
      </c>
      <c r="F17" s="62">
        <f>'月次PL'!H28</f>
        <v/>
      </c>
    </row>
    <row r="18" ht="20" customHeight="1">
      <c r="B18" s="58" t="inlineStr">
        <is>
          <t>2027年1月</t>
        </is>
      </c>
      <c r="C18" s="59">
        <f>'月次PL'!I9</f>
        <v/>
      </c>
      <c r="D18" s="60">
        <f>'月次PL'!I16</f>
        <v/>
      </c>
      <c r="E18" s="61">
        <f>'月次PL'!I26</f>
        <v/>
      </c>
      <c r="F18" s="62">
        <f>'月次PL'!I28</f>
        <v/>
      </c>
    </row>
    <row r="19" ht="20" customHeight="1">
      <c r="B19" s="58" t="inlineStr">
        <is>
          <t>2027年2月</t>
        </is>
      </c>
      <c r="C19" s="59">
        <f>'月次PL'!J9</f>
        <v/>
      </c>
      <c r="D19" s="60">
        <f>'月次PL'!J16</f>
        <v/>
      </c>
      <c r="E19" s="61">
        <f>'月次PL'!J26</f>
        <v/>
      </c>
      <c r="F19" s="62">
        <f>'月次PL'!J28</f>
        <v/>
      </c>
    </row>
    <row r="20" ht="20" customHeight="1">
      <c r="B20" s="58" t="inlineStr">
        <is>
          <t>2027年3月</t>
        </is>
      </c>
      <c r="C20" s="59">
        <f>'月次PL'!K9</f>
        <v/>
      </c>
      <c r="D20" s="60">
        <f>'月次PL'!K16</f>
        <v/>
      </c>
      <c r="E20" s="61">
        <f>'月次PL'!K26</f>
        <v/>
      </c>
      <c r="F20" s="62">
        <f>'月次PL'!K28</f>
        <v/>
      </c>
    </row>
    <row r="21" ht="20" customHeight="1">
      <c r="B21" s="58" t="inlineStr">
        <is>
          <t>2027年4月</t>
        </is>
      </c>
      <c r="C21" s="59">
        <f>'月次PL'!L9</f>
        <v/>
      </c>
      <c r="D21" s="60">
        <f>'月次PL'!L16</f>
        <v/>
      </c>
      <c r="E21" s="61">
        <f>'月次PL'!L26</f>
        <v/>
      </c>
      <c r="F21" s="62">
        <f>'月次PL'!L28</f>
        <v/>
      </c>
    </row>
    <row r="22" ht="20" customHeight="1">
      <c r="B22" s="58" t="inlineStr">
        <is>
          <t>2027年5月</t>
        </is>
      </c>
      <c r="C22" s="59">
        <f>'月次PL'!M9</f>
        <v/>
      </c>
      <c r="D22" s="60">
        <f>'月次PL'!M16</f>
        <v/>
      </c>
      <c r="E22" s="61">
        <f>'月次PL'!M26</f>
        <v/>
      </c>
      <c r="F22" s="62">
        <f>'月次PL'!M28</f>
        <v/>
      </c>
    </row>
    <row r="23" ht="20" customHeight="1">
      <c r="B23" s="58" t="inlineStr">
        <is>
          <t>2027年6月</t>
        </is>
      </c>
      <c r="C23" s="59">
        <f>'月次PL'!N9</f>
        <v/>
      </c>
      <c r="D23" s="60">
        <f>'月次PL'!N16</f>
        <v/>
      </c>
      <c r="E23" s="61">
        <f>'月次PL'!N26</f>
        <v/>
      </c>
      <c r="F23" s="62">
        <f>'月次PL'!N28</f>
        <v/>
      </c>
    </row>
    <row r="24" ht="20" customHeight="1">
      <c r="B24" s="58" t="inlineStr">
        <is>
          <t>2027年7月</t>
        </is>
      </c>
      <c r="C24" s="59">
        <f>'月次PL'!O9</f>
        <v/>
      </c>
      <c r="D24" s="60">
        <f>'月次PL'!O16</f>
        <v/>
      </c>
      <c r="E24" s="61">
        <f>'月次PL'!O26</f>
        <v/>
      </c>
      <c r="F24" s="62">
        <f>'月次PL'!O28</f>
        <v/>
      </c>
    </row>
    <row r="25" ht="24" customHeight="1">
      <c r="B25" s="41" t="inlineStr">
        <is>
          <t>年間合計</t>
        </is>
      </c>
      <c r="C25" s="28">
        <f>'月次PL'!P9</f>
        <v/>
      </c>
      <c r="D25" s="28">
        <f>'月次PL'!P16</f>
        <v/>
      </c>
      <c r="E25" s="28">
        <f>'月次PL'!P26</f>
        <v/>
      </c>
      <c r="F25" s="28">
        <f>'月次PL'!P28</f>
        <v/>
      </c>
    </row>
    <row r="26" ht="6" customHeight="1"/>
    <row r="27" ht="28" customHeight="1">
      <c r="B27" s="63" t="inlineStr">
        <is>
          <t>📈  収益性指標（年間ベース）</t>
        </is>
      </c>
    </row>
    <row r="28" ht="20" customHeight="1">
      <c r="B28" s="64" t="inlineStr">
        <is>
          <t>粗利率</t>
        </is>
      </c>
      <c r="C28" s="64" t="inlineStr">
        <is>
          <t>営業利益率</t>
        </is>
      </c>
      <c r="D28" s="64" t="inlineStr">
        <is>
          <t>販管費比率</t>
        </is>
      </c>
    </row>
    <row r="29" ht="26" customHeight="1">
      <c r="B29" s="65">
        <f>IFERROR('月次PL'!P16/'月次PL'!P9*100,0)</f>
        <v/>
      </c>
      <c r="C29" s="65">
        <f>IFERROR('月次PL'!P28/'月次PL'!P9*100,0)</f>
        <v/>
      </c>
      <c r="D29" s="65">
        <f>IFERROR('月次PL'!P26/'月次PL'!P9*100,0)</f>
        <v/>
      </c>
    </row>
  </sheetData>
  <mergeCells count="5">
    <mergeCell ref="B2:F2"/>
    <mergeCell ref="B10:F10"/>
    <mergeCell ref="B3:F3"/>
    <mergeCell ref="B5:F5"/>
    <mergeCell ref="B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2026-06-15T22:23:29Z</dcterms:created>
  <dcterms:modified xsi:type="dcterms:W3CDTF">2026-06-15T22:23:29Z</dcterms:modified>
</cp:coreProperties>
</file>